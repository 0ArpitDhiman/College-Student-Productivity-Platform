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_rels/workbook.xml.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_rels/sheet3.xml.rels" ContentType="application/vnd.openxmlformats-package.relationships+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drawings/_rels/drawing1.xml.rels" ContentType="application/vnd.openxmlformats-package.relationships+xml"/>
  <Override PartName="/xl/drawings/drawing1.xml" ContentType="application/vnd.openxmlformats-officedocument.drawing+xml"/>
  <Override PartName="/xl/styles.xml" ContentType="application/vnd.openxmlformats-officedocument.spreadsheetml.styles+xml"/>
  <Override PartName="/xl/sharedStrings.xml" ContentType="application/vnd.openxmlformats-officedocument.spreadsheetml.sharedString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Raw Responses" sheetId="1" state="visible" r:id="rId2"/>
    <sheet name="Quantitative Analysis" sheetId="2" state="visible" r:id="rId3"/>
    <sheet name="Charts" sheetId="3" state="visible" r:id="rId4"/>
    <sheet name="Qualitative Analysis" sheetId="4" state="visible" r:id="rId5"/>
    <sheet name="Theme Summary" sheetId="5" state="visible" r:id="rId6"/>
    <sheet name="Pain Point Summary" sheetId="6" state="visible" r:id="rId7"/>
    <sheet name="Key Insights &amp; PM Conclusion" sheetId="7" state="visible" r:id="rId8"/>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<sst xmlns="http://schemas.openxmlformats.org/spreadsheetml/2006/main" count="543" uniqueCount="408">
  <si>
    <t xml:space="preserve">Timestamp</t>
  </si>
  <si>
    <t xml:space="preserve">What year are you currently in?</t>
  </si>
  <si>
    <t xml:space="preserve">What course/branch are you studying?</t>
  </si>
  <si>
    <t xml:space="preserve">How many different platforms/tools do you regularly use to keep track of college-related tasks and deadlines?</t>
  </si>
  <si>
    <t xml:space="preserve">What do you currently use to manage your deadlines/tasks?</t>
  </si>
  <si>
    <t xml:space="preserve">How often do you forget or miss an important college-related task/deadline?</t>
  </si>
  <si>
    <t xml:space="preserve">What types of things do you most commonly forget or struggle to keep track of?</t>
  </si>
  <si>
    <t xml:space="preserve">What is the biggest difficulty you face while managing these responsibilities?</t>
  </si>
  <si>
    <t xml:space="preserve">Tell us about a recent time when you forgot or nearly missed something important. What happened?</t>
  </si>
  <si>
    <t xml:space="preserve">What do you currently dislike about the tools/apps you use for managing your college work?</t>
  </si>
  <si>
    <t xml:space="preserve">If you could improve ONE thing about how you currently manage your college responsibilities, what would you change?</t>
  </si>
  <si>
    <t xml:space="preserve">2026-09-10 00:03:33.977000</t>
  </si>
  <si>
    <t xml:space="preserve">4th</t>
  </si>
  <si>
    <t xml:space="preserve">BTECH CORE</t>
  </si>
  <si>
    <t xml:space="preserve">0-1</t>
  </si>
  <si>
    <t xml:space="preserve">Whatsapp, Google Calendar, College LMS/portal, Dairy/notebook</t>
  </si>
  <si>
    <t xml:space="preserve">Very Often</t>
  </si>
  <si>
    <t xml:space="preserve">Assignments, Exams, Form/application deadlines, Faculty meetings</t>
  </si>
  <si>
    <t xml:space="preserve">Deadline </t>
  </si>
  <si>
    <t xml:space="preserve">Shree ram sir 
Blocked me 😔</t>
  </si>
  <si>
    <t xml:space="preserve">The credit limit </t>
  </si>
  <si>
    <t xml:space="preserve">I will change the placement cell</t>
  </si>
  <si>
    <t xml:space="preserve">2026-09-10 00:08:06.497000</t>
  </si>
  <si>
    <t xml:space="preserve">CSE CORE</t>
  </si>
  <si>
    <t xml:space="preserve">2-3</t>
  </si>
  <si>
    <t xml:space="preserve">Dairy/notebook, Phone alarms/reminders</t>
  </si>
  <si>
    <t xml:space="preserve">Rarely</t>
  </si>
  <si>
    <t xml:space="preserve">Other</t>
  </si>
  <si>
    <t xml:space="preserve">Time management </t>
  </si>
  <si>
    <t xml:space="preserve">I missed an application form before deadline.</t>
  </si>
  <si>
    <t xml:space="preserve">Not accurate, or no knowledge of perfect tools.</t>
  </si>
  <si>
    <t xml:space="preserve">Time management</t>
  </si>
  <si>
    <t xml:space="preserve">2026-09-10 00:09:42.686000</t>
  </si>
  <si>
    <t xml:space="preserve">B.Tech in Computer Science and Engineering (CSE)</t>
  </si>
  <si>
    <t xml:space="preserve">Whatsapp, Google Calender, Google Calendar, College LMS/portal, To-do app, Excel/Google Sheets, Phone alarms/reminders</t>
  </si>
  <si>
    <t xml:space="preserve">Sometimes</t>
  </si>
  <si>
    <t xml:space="preserve">Assignments, Form/application deadlines, Project Deadlines, College events, Internship/placement applicationns, Interviews</t>
  </si>
  <si>
    <t xml:space="preserve">Keeping track of deadlines scattered across different platforms and remembering tasks that have different due dates and priorities.</t>
  </si>
  <si>
    <t xml:space="preserve">I recently almost missed a college application deadline because the information was shared in mail and got buried under other messages. I noticed it only when the deadline was approaching and had to complete the application quickly.</t>
  </si>
  <si>
    <t xml:space="preserve">The information is scattered across the college portal, email, and calendars. There is no single place that shows all my upcoming deadlines and priorities.</t>
  </si>
  <si>
    <t xml:space="preserve">I would create one centralized system that automatically collects deadlines from different platforms and gives reminders based on priority and urgency.</t>
  </si>
  <si>
    <t xml:space="preserve">2026-09-10 00:12:25.424000</t>
  </si>
  <si>
    <t xml:space="preserve">3rd</t>
  </si>
  <si>
    <t xml:space="preserve">Btech aiml cse </t>
  </si>
  <si>
    <t xml:space="preserve">Whatsapp, Google Calender</t>
  </si>
  <si>
    <t xml:space="preserve">Assignments</t>
  </si>
  <si>
    <t xml:space="preserve">To much work at once</t>
  </si>
  <si>
    <t xml:space="preserve">Yesterday </t>
  </si>
  <si>
    <t xml:space="preserve">They don't remind me consistently </t>
  </si>
  <si>
    <t xml:space="preserve">Some kind of alarm when deadline are near</t>
  </si>
  <si>
    <t xml:space="preserve">2026-09-10 00:16:07.417000</t>
  </si>
  <si>
    <t xml:space="preserve">Btech Cse</t>
  </si>
  <si>
    <t xml:space="preserve">Whatsapp</t>
  </si>
  <si>
    <t xml:space="preserve">Assignments, Form/application deadlines</t>
  </si>
  <si>
    <t xml:space="preserve">Remembering all these</t>
  </si>
  <si>
    <t xml:space="preserve">I almost missed an assignment deadline because I forgot to note it down. A friend reminded me just in time, and I submitted it before the deadline</t>
  </si>
  <si>
    <t xml:space="preserve">Information is spread across multiple apps, making it easy to miss important updates and deadlines.</t>
  </si>
  <si>
    <t xml:space="preserve">I would like all assignments, exams, and deadlines to be organized in one place with reminders.</t>
  </si>
  <si>
    <t xml:space="preserve">2026-09-10 00:17:12.832000</t>
  </si>
  <si>
    <t xml:space="preserve">Computer Science and Engineering</t>
  </si>
  <si>
    <t xml:space="preserve">4-5</t>
  </si>
  <si>
    <t xml:space="preserve">Whatsapp, Phone alarms/reminders</t>
  </si>
  <si>
    <t xml:space="preserve">Assignments, Form/application deadlines, Internship/placement applicationns, Personal Tasks</t>
  </si>
  <si>
    <t xml:space="preserve">Keeping track of tasks and remembering to work on them at the right time. I sometimes remember a task too early or only after I was supposed to do it, even when I know it needs to be done.</t>
  </si>
  <si>
    <t xml:space="preserve">Recently, I missed the deadline for filling out a few placement forms. I remembered about them too late, and by then the applications had closed, so I was no longer eligible to sit for those companies. As a result, I lost a few placement opportunities.</t>
  </si>
  <si>
    <t xml:space="preserve">The tools I currently use are scattered and require too much manual effort. WhatsApp messages can get lost, Notes become messy as the number of tasks increases, and I have to create a new reminder every time I get a task—which I sometimes forget to do. With the large volume of emails we receive, important ones can also easily get buried.</t>
  </si>
  <si>
    <t xml:space="preserve">I would like to have one reliable system where all my responsibilities are tracked automatically, rather than having to remember them myself or manually create reminders. It should remind me early enough and again closer to the deadline so I have multiple chances to act on them.</t>
  </si>
  <si>
    <t xml:space="preserve">2026-09-10 00:19:45.097000</t>
  </si>
  <si>
    <t xml:space="preserve">CSE</t>
  </si>
  <si>
    <t xml:space="preserve">To-do app</t>
  </si>
  <si>
    <t xml:space="preserve">Exams</t>
  </si>
  <si>
    <t xml:space="preserve">Forget important things.</t>
  </si>
  <si>
    <t xml:space="preserve">I become stressed </t>
  </si>
  <si>
    <t xml:space="preserve">UI is not good.</t>
  </si>
  <si>
    <t xml:space="preserve">Give the notification alarm for important thing. </t>
  </si>
  <si>
    <t xml:space="preserve">2026-09-10 00:20:12.908000</t>
  </si>
  <si>
    <t xml:space="preserve">1st</t>
  </si>
  <si>
    <t xml:space="preserve">AI</t>
  </si>
  <si>
    <t xml:space="preserve">Phone alarms/reminders</t>
  </si>
  <si>
    <t xml:space="preserve">Managing my time between classes, assignments and studies</t>
  </si>
  <si>
    <t xml:space="preserve">I recently almost missed an assignment deadline because I had multiple classes and tasks to manage at the same time. I completed it just before the deadline.</t>
  </si>
  <si>
    <t xml:space="preserve">Important information is spread across different apps, so it is sometimes difficult to keep track of everything in one place.</t>
  </si>
  <si>
    <t xml:space="preserve">I would improve my time management by keeping all my college tasks, deadlines, and reminders organized in one place.</t>
  </si>
  <si>
    <t xml:space="preserve">2026-09-10 00:22:37.972000</t>
  </si>
  <si>
    <t xml:space="preserve">B.Tech</t>
  </si>
  <si>
    <t xml:space="preserve">6+</t>
  </si>
  <si>
    <t xml:space="preserve">Whatsapp, College LMS/portal</t>
  </si>
  <si>
    <t xml:space="preserve">Assignments, Exams, Project Deadlines</t>
  </si>
  <si>
    <t xml:space="preserve">Managing my time between studies, assignments, and personal responsibilities.</t>
  </si>
  <si>
    <t xml:space="preserve">I almost missed an assignment deadline because I forgot about it while handling other work.</t>
  </si>
  <si>
    <t xml:space="preserve">I have to use different apps for different tasks, which can be confusing.</t>
  </si>
  <si>
    <t xml:space="preserve">I would like one simple app to manage all my college tasks and deadlines.</t>
  </si>
  <si>
    <t xml:space="preserve">2026-09-10 00:22:53.402000</t>
  </si>
  <si>
    <t xml:space="preserve">Whatsapp, College LMS/portal, Dairy/notebook, Phone alarms/reminders</t>
  </si>
  <si>
    <t xml:space="preserve">Often</t>
  </si>
  <si>
    <t xml:space="preserve">Assignments, Exams, Form/application deadlines, Project Deadlines, Faculty meetings, College events, Internship/placement applicationns</t>
  </si>
  <si>
    <t xml:space="preserve">Managing multiple things at once</t>
  </si>
  <si>
    <t xml:space="preserve">I misssed the online assignment streak of coding</t>
  </si>
  <si>
    <t xml:space="preserve">No reminders</t>
  </si>
  <si>
    <t xml:space="preserve">Manage thing systematically</t>
  </si>
  <si>
    <t xml:space="preserve">2026-09-10 00:23:22.331000</t>
  </si>
  <si>
    <t xml:space="preserve">Cse Core</t>
  </si>
  <si>
    <t xml:space="preserve">I don't use any specific system</t>
  </si>
  <si>
    <t xml:space="preserve">Internship/placement applicationns</t>
  </si>
  <si>
    <t xml:space="preserve">They do not update it from time to time</t>
  </si>
  <si>
    <t xml:space="preserve">I want to be better version of myself as compare to previous day. </t>
  </si>
  <si>
    <t xml:space="preserve">2026-09-10 00:23:23.941000</t>
  </si>
  <si>
    <t xml:space="preserve">Btech. Computer Science and Engineering </t>
  </si>
  <si>
    <t xml:space="preserve">Never</t>
  </si>
  <si>
    <t xml:space="preserve">Form/application deadlines</t>
  </si>
  <si>
    <t xml:space="preserve">2026-09-10 00:24:14.147000</t>
  </si>
  <si>
    <t xml:space="preserve">To-do app, I don't use any specific system</t>
  </si>
  <si>
    <t xml:space="preserve">I forget the deadline at last moment. I remember till 11:00 but forget at 12:00</t>
  </si>
  <si>
    <t xml:space="preserve">An assignment form given 1 week ago which I had already completed</t>
  </si>
  <si>
    <t xml:space="preserve">I still forget</t>
  </si>
  <si>
    <t xml:space="preserve">2026-09-10 00:26:51.796000</t>
  </si>
  <si>
    <t xml:space="preserve">Integrated M.Tech Computational and Data Science </t>
  </si>
  <si>
    <t xml:space="preserve">Whatsapp, Other</t>
  </si>
  <si>
    <t xml:space="preserve">Form/application deadlines, Faculty meetings, Personal Tasks</t>
  </si>
  <si>
    <t xml:space="preserve">Not the biggest difficulty but
 ...I am living alone and I have to cook for myself and all the homestuff also ...so i am facing a difficulty a little to manage aal college things</t>
  </si>
  <si>
    <t xml:space="preserve">Yeah I missed to submit assignment </t>
  </si>
  <si>
    <t xml:space="preserve">The due date in Google classroom </t>
  </si>
  <si>
    <t xml:space="preserve">I would change my sleep and other stuffs to manage college responsibilities </t>
  </si>
  <si>
    <t xml:space="preserve">2026-09-10 00:27:05.517000</t>
  </si>
  <si>
    <t xml:space="preserve">Computer Science and Engineering </t>
  </si>
  <si>
    <t xml:space="preserve">Whatsapp, Google Calender, Notion, College LMS/portal, To-do app, Excel/Google Sheets, Dairy/notebook, Phone alarms/reminders, Other</t>
  </si>
  <si>
    <t xml:space="preserve">Personal Tasks</t>
  </si>
  <si>
    <t xml:space="preserve">Struggle with completing them within the given deadline</t>
  </si>
  <si>
    <t xml:space="preserve">Missed to attend ppt of a company that can for placement drive in my college</t>
  </si>
  <si>
    <t xml:space="preserve">Updating the applications to the latest version and also a lot of unnecessary notifications</t>
  </si>
  <si>
    <t xml:space="preserve">Be more careful and punctual</t>
  </si>
  <si>
    <t xml:space="preserve">2026-09-10 00:32:25.634000</t>
  </si>
  <si>
    <t xml:space="preserve">Whatsapp, Dairy/notebook, Phone alarms/reminders</t>
  </si>
  <si>
    <t xml:space="preserve">Form/application deadlines, Project Deadlines</t>
  </si>
  <si>
    <t xml:space="preserve">The biggest difficulty is keeping track of different deadlines. Important dates are often shared on email or in different places, so sometimes I forget about a form, application or project deadline until it is very close.</t>
  </si>
  <si>
    <t xml:space="preserve">Recently, I almost missed a project deadline because the deadline was shared earlier on email and I did not keep track of it separately. I remembered it when the deadline was getting close and had to finish the remaining work quickly.</t>
  </si>
  <si>
    <t xml:space="preserve">I use WhatsApp, a diary/notebook and phone reminders, but none of them gives me a complete view of everything. I have to check different places to know what deadlines and tasks are coming up.</t>
  </si>
  <si>
    <t xml:space="preserve">I would want one place where I can keep track of all my forms, applications, project deadlines and other important college tasks, so I do not have to depend on WhatsApp messages, notes and separate reminders.</t>
  </si>
  <si>
    <t xml:space="preserve">2026-09-10 00:32:43.999000</t>
  </si>
  <si>
    <t xml:space="preserve">Cs(ai and ml)</t>
  </si>
  <si>
    <t xml:space="preserve">Whatsapp, Google Calender, Google Calendar, Excel/Google Sheets, Phone alarms/reminders</t>
  </si>
  <si>
    <t xml:space="preserve">Nothing </t>
  </si>
  <si>
    <t xml:space="preserve">Missed a extra class at 2pm which is on my calendar </t>
  </si>
  <si>
    <t xml:space="preserve">They are alright but we are using them in a wrong way </t>
  </si>
  <si>
    <t xml:space="preserve">I will edit these applications and apply a alarm ringtone on these important events</t>
  </si>
  <si>
    <t xml:space="preserve">2026-09-10 00:50:27.002000</t>
  </si>
  <si>
    <t xml:space="preserve">Bca</t>
  </si>
  <si>
    <t xml:space="preserve">Google Calendar, Notion, To-do app, Dairy/notebook</t>
  </si>
  <si>
    <t xml:space="preserve">Form/application deadlines, Project Deadlines, Faculty meetings</t>
  </si>
  <si>
    <t xml:space="preserve">I forgot </t>
  </si>
  <si>
    <t xml:space="preserve">I many time missed my assignment </t>
  </si>
  <si>
    <t xml:space="preserve">Thier ui </t>
  </si>
  <si>
    <t xml:space="preserve">Nothing but laziness</t>
  </si>
  <si>
    <t xml:space="preserve">2026-09-10 00:51:30.345000</t>
  </si>
  <si>
    <t xml:space="preserve">Btech</t>
  </si>
  <si>
    <t xml:space="preserve">Google Calender</t>
  </si>
  <si>
    <t xml:space="preserve">Assignments, Form/application deadlines, Project Deadlines</t>
  </si>
  <si>
    <t xml:space="preserve">Remembering all things </t>
  </si>
  <si>
    <t xml:space="preserve">Latest form submission deadline</t>
  </si>
  <si>
    <t xml:space="preserve">No actual reminders </t>
  </si>
  <si>
    <t xml:space="preserve">Submit the task before deadline </t>
  </si>
  <si>
    <t xml:space="preserve">2026-09-10 00:56:52.700000</t>
  </si>
  <si>
    <t xml:space="preserve">B.Tech Computer Science and Engineering </t>
  </si>
  <si>
    <t xml:space="preserve">Notion</t>
  </si>
  <si>
    <t xml:space="preserve">The tracking application is not a sinhle one, but many, so hard to manage and track responsibility </t>
  </si>
  <si>
    <t xml:space="preserve">1week prior, i forgot to apply for a internship </t>
  </si>
  <si>
    <t xml:space="preserve">One app only offer one out two features for taking not all essential tracking features</t>
  </si>
  <si>
    <t xml:space="preserve">All in one single tracking app</t>
  </si>
  <si>
    <t xml:space="preserve">2026-09-10 01:18:58.846000</t>
  </si>
  <si>
    <t xml:space="preserve">2nd</t>
  </si>
  <si>
    <t xml:space="preserve">Cse core </t>
  </si>
  <si>
    <t xml:space="preserve">Whatsapp, Google Calendar, College LMS/portal</t>
  </si>
  <si>
    <t xml:space="preserve">Assignments, Project Deadlines, Internship/placement applicationns</t>
  </si>
  <si>
    <t xml:space="preserve">Reminder problem</t>
  </si>
  <si>
    <t xml:space="preserve">Assignment was missed because I forgot the the deadline</t>
  </si>
  <si>
    <t xml:space="preserve">Writing assignments manually</t>
  </si>
  <si>
    <t xml:space="preserve">I would make myself more responsible towards how I manage my time</t>
  </si>
  <si>
    <t xml:space="preserve">2026-09-10 01:26:23.213000</t>
  </si>
  <si>
    <t xml:space="preserve">Google Calender, Phone alarms/reminders</t>
  </si>
  <si>
    <t xml:space="preserve">Form/application deadlines, College events, Internship/placement applicationns, Personal Tasks</t>
  </si>
  <si>
    <t xml:space="preserve">The biggest difficulty is procrastination. Sometimes I tend to delay tasks, especially when I have multiple things to handle at the same time, due to which it feels unnecessary pressure as the deadline gets closer.</t>
  </si>
  <si>
    <t xml:space="preserve">I don't remember anything I missed anything important. I missed some unimportant things, which really didn't matter at the end.</t>
  </si>
  <si>
    <t xml:space="preserve">One thing is that I make unrealistic to-do lists and then, never follows them from the heart. So, it's not about the app, it's basically my problem.</t>
  </si>
  <si>
    <t xml:space="preserve">I would really want to improve my time management to avoid last-minute pressure.</t>
  </si>
  <si>
    <t xml:space="preserve">2026-09-10 07:01:03.895000</t>
  </si>
  <si>
    <t xml:space="preserve">Ba honours </t>
  </si>
  <si>
    <t xml:space="preserve">Whatsapp, Google Calender, College LMS/portal, To-do app</t>
  </si>
  <si>
    <t xml:space="preserve">Balancing lectures, study time, assignments, and personal life without getting overwhelmed.</t>
  </si>
  <si>
    <t xml:space="preserve">Nothing</t>
  </si>
  <si>
    <t xml:space="preserve">I dislike having to switch between multiple platforms (like WhatsApp, email, and the college portal) </t>
  </si>
  <si>
    <t xml:space="preserve">Having a single, unified dashboard where all deadlines, timetables, and links are kept in one accessible place.</t>
  </si>
  <si>
    <t xml:space="preserve">2026-09-10 12:07:52.777000</t>
  </si>
  <si>
    <t xml:space="preserve">Bba</t>
  </si>
  <si>
    <t xml:space="preserve">No</t>
  </si>
  <si>
    <t xml:space="preserve">2026-09-11 12:04:11.673000</t>
  </si>
  <si>
    <t xml:space="preserve">Assignments, Project Deadlines</t>
  </si>
  <si>
    <t xml:space="preserve">Sleep late</t>
  </si>
  <si>
    <t xml:space="preserve">Project deadline</t>
  </si>
  <si>
    <t xml:space="preserve">interface</t>
  </si>
  <si>
    <t xml:space="preserve">schedule</t>
  </si>
  <si>
    <t xml:space="preserve">Quantitative Analysis — What Do the Numbers Tell Us?</t>
  </si>
  <si>
    <t xml:space="preserve">Source: Raw Responses sheet. All counts and percentages below are calculated with formulas directly from the raw survey data (25 total responses). Nothing in this sheet is manually entered as a fixed number.</t>
  </si>
  <si>
    <t xml:space="preserve">A. Sample Overview</t>
  </si>
  <si>
    <t xml:space="preserve">Total respondents</t>
  </si>
  <si>
    <t xml:space="preserve">Year of Study</t>
  </si>
  <si>
    <t xml:space="preserve">Count</t>
  </si>
  <si>
    <t xml:space="preserve">% of Respondents</t>
  </si>
  <si>
    <t xml:space="preserve">Total</t>
  </si>
  <si>
    <t xml:space="preserve">B. Number of Tools/Platforms Used (self-reported)</t>
  </si>
  <si>
    <t xml:space="preserve">Number of Tools Used</t>
  </si>
  <si>
    <t xml:space="preserve">% using 2 or more tools</t>
  </si>
  <si>
    <t xml:space="preserve">"2 or more tools" = all respondents NOT in the "0-1" bin, based on the survey's own categorical question.</t>
  </si>
  <si>
    <t xml:space="preserve">C. Frequency of Forgetting/Missing Important Tasks</t>
  </si>
  <si>
    <t xml:space="preserve">Frequency</t>
  </si>
  <si>
    <t xml:space="preserve">% reporting Sometimes / Often / Very Often</t>
  </si>
  <si>
    <t xml:space="preserve">D. Types of Things Students Forget or Struggle to Track (multi-select)</t>
  </si>
  <si>
    <t xml:space="preserve">This was a multi-select question, so one respondent can appear in more than one row. Figures below are 'mentions', not unique respondents.</t>
  </si>
  <si>
    <t xml:space="preserve">Category</t>
  </si>
  <si>
    <t xml:space="preserve">Mentions</t>
  </si>
  <si>
    <t xml:space="preserve">% of Respondents Mentioning</t>
  </si>
  <si>
    <t xml:space="preserve">Project Deadlines</t>
  </si>
  <si>
    <t xml:space="preserve">Faculty meetings</t>
  </si>
  <si>
    <t xml:space="preserve">College events</t>
  </si>
  <si>
    <t xml:space="preserve">Interviews</t>
  </si>
  <si>
    <t xml:space="preserve">Total mentions</t>
  </si>
  <si>
    <t xml:space="preserve">E. Current Tools Used to Manage Deadlines/Tasks (multi-select)</t>
  </si>
  <si>
    <t xml:space="preserve">Multi-select question — figures are 'mentions', not unique respondents. 'Google Calendar' and 'Google Calender' are two different spellings typed by respondents in the raw data and are counted separately below; they most likely refer to the same tool (see note under the table).</t>
  </si>
  <si>
    <t xml:space="preserve">Tool / Platform</t>
  </si>
  <si>
    <t xml:space="preserve">Google Calendar</t>
  </si>
  <si>
    <t xml:space="preserve">College LMS/portal</t>
  </si>
  <si>
    <t xml:space="preserve">Dairy/notebook</t>
  </si>
  <si>
    <t xml:space="preserve">Excel/Google Sheets</t>
  </si>
  <si>
    <t xml:space="preserve">If 'Google Calendar' + 'Google Calender' spellings are combined as one tool, combined mentions = </t>
  </si>
  <si>
    <t xml:space="preserve">Key Quantitative Findings</t>
  </si>
  <si>
    <t xml:space="preserve">• 14 of 25 respondents (56%) report forgetting or missing an important task "Sometimes", "Often", or "Very Often" — this is a majority of the sample.</t>
  </si>
  <si>
    <t xml:space="preserve">• 19 of 25 respondents (76%) say they use 2 or more separate tools/platforms to track college tasks, based on the survey's own tool-count question.</t>
  </si>
  <si>
    <t xml:space="preserve">• "Assignments" and "Form/application deadlines" are the two most frequently mentioned things students forget (14 mentions each), followed by "Project Deadlines" (10 mentions).</t>
  </si>
  <si>
    <t xml:space="preserve">• WhatsApp is the single most-mentioned tool for managing deadlines (15 mentions), despite not being designed as a task-tracking tool.</t>
  </si>
  <si>
    <t xml:space="preserve">• The sample is heavily skewed toward 4th-year students (17 of 25, 68%), with only 6 respondents from 1st–3rd year combined — limiting how confidently findings generalize across all college years.</t>
  </si>
  <si>
    <t xml:space="preserve">Research Dashboard — College Student Productivity Survey (n = 25)</t>
  </si>
  <si>
    <t xml:space="preserve">Qualitative Analysis — Response-by-Response Read</t>
  </si>
  <si>
    <t xml:space="preserve">Biggest Difficulty, Recent Incident, Dislike, and Improve columns are pulled directly (by formula) from the Raw Responses sheet — nothing is reworded. "Theme(s) Detected" is the researcher's manual thematic coding of that respondent's answers, based only on what they actually wrote. A blank cell means the respondent left that question empty in the original form.</t>
  </si>
  <si>
    <t xml:space="preserve">Response #</t>
  </si>
  <si>
    <t xml:space="preserve">Year</t>
  </si>
  <si>
    <t xml:space="preserve">Biggest Difficulty</t>
  </si>
  <si>
    <t xml:space="preserve">Recent Incident</t>
  </si>
  <si>
    <t xml:space="preserve">What They Dislike About Current Tools</t>
  </si>
  <si>
    <t xml:space="preserve">What They Would Improve</t>
  </si>
  <si>
    <t xml:space="preserve">Theme(s) Detected</t>
  </si>
  <si>
    <t xml:space="preserve">Other/Unclear</t>
  </si>
  <si>
    <t xml:space="preserve">Time management; Other/Unclear</t>
  </si>
  <si>
    <t xml:space="preserve">Information scattered across platforms; Prioritization</t>
  </si>
  <si>
    <t xml:space="preserve">Overload; Reminder/notification problems</t>
  </si>
  <si>
    <t xml:space="preserve">Information scattered across platforms; Manual tracking; Reminder/notification problems</t>
  </si>
  <si>
    <t xml:space="preserve">Information scattered across platforms; Manual tracking; Manual reminder creation; Overload</t>
  </si>
  <si>
    <t xml:space="preserve">Reminder/notification problems; Other/Unclear</t>
  </si>
  <si>
    <t xml:space="preserve">Time management; Competing responsibilities; Information scattered across platforms</t>
  </si>
  <si>
    <t xml:space="preserve">No major problem</t>
  </si>
  <si>
    <t xml:space="preserve">Manual tracking; Reminder/notification problems</t>
  </si>
  <si>
    <t xml:space="preserve">Competing responsibilities; Other/Unclear</t>
  </si>
  <si>
    <t xml:space="preserve">Information scattered across platforms; Manual tracking</t>
  </si>
  <si>
    <t xml:space="preserve">Manual tracking; Procrastination; Other/Unclear</t>
  </si>
  <si>
    <t xml:space="preserve">Information scattered across platforms; Manual tracking; Other/Unclear</t>
  </si>
  <si>
    <t xml:space="preserve">Reminder/notification problems; Manual tracking; Other/Unclear</t>
  </si>
  <si>
    <t xml:space="preserve">Procrastination; Time management; Competing responsibilities</t>
  </si>
  <si>
    <t xml:space="preserve">Competing responsibilities; Time management; Information scattered across platforms</t>
  </si>
  <si>
    <t xml:space="preserve">Theme Summary — Qualitative Findings</t>
  </si>
  <si>
    <t xml:space="preserve">"Number of students mentioning it" is calculated with a formula that counts how many rows in the Qualitative Analysis sheet contain that theme text. A response can count toward more than one theme, so the column will not add up to 25.</t>
  </si>
  <si>
    <t xml:space="preserve">Theme</t>
  </si>
  <si>
    <t xml:space="preserve">Students Mentioning</t>
  </si>
  <si>
    <t xml:space="preserve">% of Respondents (n=25)</t>
  </si>
  <si>
    <t xml:space="preserve">Example Evidence (short excerpt)</t>
  </si>
  <si>
    <t xml:space="preserve">User Impact</t>
  </si>
  <si>
    <t xml:space="preserve">Confidence</t>
  </si>
  <si>
    <t xml:space="preserve">Reminder/notification problems</t>
  </si>
  <si>
    <t xml:space="preserve">"no actual reminders" / "don't remind me consistently"</t>
  </si>
  <si>
    <t xml:space="preserve">Reminders are missing, inconsistent, or not trusted, so tasks slip through even when noted somewhere.</t>
  </si>
  <si>
    <t xml:space="preserve">Moderately-to-strongly supported (tied for most-mentioned theme)</t>
  </si>
  <si>
    <t xml:space="preserve">Information scattered across platforms</t>
  </si>
  <si>
    <t xml:space="preserve">"scattered across the college portal, email, and calendars"</t>
  </si>
  <si>
    <t xml:space="preserve">Important information lives in many places, so students must actively check multiple apps to stay on top of deadlines.</t>
  </si>
  <si>
    <t xml:space="preserve">Moderately-to-strongly supported</t>
  </si>
  <si>
    <t xml:space="preserve">Manual tracking</t>
  </si>
  <si>
    <t xml:space="preserve">"I forgot to note it down" / "I still forget"</t>
  </si>
  <si>
    <t xml:space="preserve">Students rely on manually remembering or writing tasks down rather than an automated system, which is easy to fail under load.</t>
  </si>
  <si>
    <t xml:space="preserve">"managing my time between classes, assignments and studies"</t>
  </si>
  <si>
    <t xml:space="preserve">Students struggle to allocate time across academic tasks, which contributes to last-minute work and missed items.</t>
  </si>
  <si>
    <t xml:space="preserve">Moderately supported</t>
  </si>
  <si>
    <t xml:space="preserve">Competing responsibilities</t>
  </si>
  <si>
    <t xml:space="preserve">"living alone and I have to cook for myself"</t>
  </si>
  <si>
    <t xml:space="preserve">Non-academic responsibilities (personal life, chores, part-time commitments) compete with college tasks for attention.</t>
  </si>
  <si>
    <t xml:space="preserve">Overload</t>
  </si>
  <si>
    <t xml:space="preserve">"too much work at once"</t>
  </si>
  <si>
    <t xml:space="preserve">Having many tasks simultaneously makes it harder to keep track of any single one.</t>
  </si>
  <si>
    <t xml:space="preserve">Weakly-to-moderately supported</t>
  </si>
  <si>
    <t xml:space="preserve">Procrastination</t>
  </si>
  <si>
    <t xml:space="preserve">"make unrealistic to-do lists and then never follow them"</t>
  </si>
  <si>
    <t xml:space="preserve">Some students self-identify delay/avoidance, not tooling, as the root cause of missed tasks.</t>
  </si>
  <si>
    <t xml:space="preserve">Weakly supported (small n)</t>
  </si>
  <si>
    <t xml:space="preserve">Manual reminder creation</t>
  </si>
  <si>
    <t xml:space="preserve">"have to create a new reminder every time I get a task"</t>
  </si>
  <si>
    <t xml:space="preserve">Some students must manually set up every reminder themselves, with no automatic capture of deadlines.</t>
  </si>
  <si>
    <t xml:space="preserve">Weakly supported (single respondent)</t>
  </si>
  <si>
    <t xml:space="preserve">Prioritization</t>
  </si>
  <si>
    <t xml:space="preserve">"tasks that have different due dates and priorities"</t>
  </si>
  <si>
    <t xml:space="preserve">Difficulty judging which task matters most when several are due close together.</t>
  </si>
  <si>
    <t xml:space="preserve">Reported "Never" missing deadlines / answered "No" to all follow-up questions</t>
  </si>
  <si>
    <t xml:space="preserve">A minority of respondents report no meaningful problem — worth segmenting out rather than designing for.</t>
  </si>
  <si>
    <t xml:space="preserve">Responses that were blank, off-topic, or too ambiguous to categorize</t>
  </si>
  <si>
    <t xml:space="preserve">Not a validated finding — flagged so it is not mistaken for a real theme.</t>
  </si>
  <si>
    <t xml:space="preserve">N/A — catch-all, not a theme</t>
  </si>
  <si>
    <t xml:space="preserve">Pain Point Summary — From Research Themes to PM Pain Points</t>
  </si>
  <si>
    <t xml:space="preserve">Each pain point below is built from one or more themes in the Theme Summary sheet. "Frequency/Research Signal" pulls its count directly from that sheet. Root Cause and Product Opportunity are the researcher's interpretation, not directly measured — they are hypotheses to validate, not conclusions.</t>
  </si>
  <si>
    <t xml:space="preserve">Pain Point</t>
  </si>
  <si>
    <t xml:space="preserve">Evidence</t>
  </si>
  <si>
    <t xml:space="preserve">Frequency/Research Signal</t>
  </si>
  <si>
    <t xml:space="preserve">Possible Root Cause</t>
  </si>
  <si>
    <t xml:space="preserve">Product Opportunity</t>
  </si>
  <si>
    <t xml:space="preserve">Validation Needed?</t>
  </si>
  <si>
    <t xml:space="preserve">Deadline-relevant information is scattered across too many channels</t>
  </si>
  <si>
    <t xml:space="preserve">Students describe checking WhatsApp, email, the college portal, and calendars separately to know what is due.</t>
  </si>
  <si>
    <t xml:space="preserve">Students must actively hunt for deadline information instead of having it surfaced to them, raising the chance something is missed.</t>
  </si>
  <si>
    <t xml:space="preserve">No single source of truth exists for college-related tasks; each channel (LMS, email, WhatsApp groups) owns only part of the picture.</t>
  </si>
  <si>
    <t xml:space="preserve">There may be an opportunity to aggregate or surface deadlines from multiple sources in one place. This is a hypothesis about direction, not a specific feature.</t>
  </si>
  <si>
    <t xml:space="preserve">Moderate-to-strong</t>
  </si>
  <si>
    <t xml:space="preserve">Yes — confirm which specific channels matter most and whether students would trust an aggregator with that data.</t>
  </si>
  <si>
    <t xml:space="preserve">Task tracking is manual and easy to abandon under load</t>
  </si>
  <si>
    <t xml:space="preserve">Respondents describe writing tasks down, trying to remember them, or forgetting to log them altogether.</t>
  </si>
  <si>
    <t xml:space="preserve">When tracking depends on manual effort, it breaks down exactly when students are busiest — which is when missed deadlines are most costly.</t>
  </si>
  <si>
    <t xml:space="preserve">Existing tools (notebooks, to-do apps, WhatsApp) require the student to notice, enter, and maintain every task themselves.</t>
  </si>
  <si>
    <t xml:space="preserve">There may be an opportunity to reduce manual data entry, e.g. by capturing deadlines automatically from a source students already use. Needs validation before scoping.</t>
  </si>
  <si>
    <t xml:space="preserve">Yes — validate which task types (assignments, forms, exams) are most worth automating first.</t>
  </si>
  <si>
    <t xml:space="preserve">Reminders are missing, inconsistent, or not trusted</t>
  </si>
  <si>
    <t xml:space="preserve">Students report tools that "don't remind me consistently" or having "no actual reminders" at all.</t>
  </si>
  <si>
    <t xml:space="preserve">Even when a task is recorded somewhere, a weak reminder system means it can still be missed.</t>
  </si>
  <si>
    <t xml:space="preserve">Current tools either lack reminders, require the student to set each one manually, or send too many low-priority notifications that get ignored.</t>
  </si>
  <si>
    <t xml:space="preserve">There may be an opportunity in smarter, priority-based reminders rather than a flat notification stream. Direction only — not a defined feature.</t>
  </si>
  <si>
    <t xml:space="preserve">Yes — test what "the right reminder" looks like (timing, channel, priority) with real users before building anything.</t>
  </si>
  <si>
    <t xml:space="preserve">Competing time demands make it hard to plan around deadlines</t>
  </si>
  <si>
    <t xml:space="preserve">Some students cite balancing personal responsibilities (e.g. living alone, chores) or multiple simultaneous academic tasks.</t>
  </si>
  <si>
    <t xml:space="preserve">This is a time-management and life-context problem, not purely a tooling gap — a tool alone may not fully solve it.</t>
  </si>
  <si>
    <t xml:space="preserve">College tasks compete with non-academic responsibilities and other coursework for the same limited time and attention.</t>
  </si>
  <si>
    <t xml:space="preserve">Any solution should account for prioritization/workload visibility, not just reminders. Needs further segmentation research.</t>
  </si>
  <si>
    <t xml:space="preserve">Moderate</t>
  </si>
  <si>
    <t xml:space="preserve">Yes — this pain point may need a different type of solution (planning/prioritization) than the fragmentation and reminder pain points above.</t>
  </si>
  <si>
    <t xml:space="preserve">A minority of students report no meaningful problem</t>
  </si>
  <si>
    <t xml:space="preserve">2 respondents said they "Never" miss deadlines or answered "No" to every follow-up question.</t>
  </si>
  <si>
    <t xml:space="preserve">Not every student is a target user — some may already have workable systems or low task complexity.</t>
  </si>
  <si>
    <t xml:space="preserve">Likely fewer competing responsibilities, fewer tools/tasks to juggle, or simply lower survey engagement (short, low-effort answers).</t>
  </si>
  <si>
    <t xml:space="preserve">Not a product opportunity — useful mainly for excluding a segment from the target user definition.</t>
  </si>
  <si>
    <t xml:space="preserve">Weak (small n)</t>
  </si>
  <si>
    <t xml:space="preserve">Not a priority — but worth keeping in mind when defining who the product is NOT for.</t>
  </si>
  <si>
    <t xml:space="preserve">Key Insights &amp; PM Conclusion</t>
  </si>
  <si>
    <t xml:space="preserve">A. Top 5 Key Insights</t>
  </si>
  <si>
    <t xml:space="preserve">Insight</t>
  </si>
  <si>
    <t xml:space="preserve">Why It Matters for the Product</t>
  </si>
  <si>
    <t xml:space="preserve">Missing deadlines is a common, not rare, experience in this sample.</t>
  </si>
  <si>
    <t xml:space="preserve">56% of respondents (14/25) report forgetting/missing tasks Sometimes, Often, or Very Often.</t>
  </si>
  <si>
    <t xml:space="preserve">This is a frequent enough problem to be worth solving, rather than an edge case.</t>
  </si>
  <si>
    <t xml:space="preserve">Students already use several tools, but the tools don't add up to one system.</t>
  </si>
  <si>
    <t xml:space="preserve">76% of respondents use 2+ tools (per the tool-count question), and WhatsApp — a messaging app, not a task manager — is the single most-mentioned tool (15 mentions).</t>
  </si>
  <si>
    <t xml:space="preserve">The gap isn't a total lack of tools; it's the lack of one that pulls everything together.</t>
  </si>
  <si>
    <t xml:space="preserve">Assignments and form/application deadlines are the most commonly forgotten items.</t>
  </si>
  <si>
    <t xml:space="preserve">14 mentions each out of 62 total mentions across all 'things forgotten' categories.</t>
  </si>
  <si>
    <t xml:space="preserve">Any early solution should prioritize these two task types over less-mentioned ones (e.g. interviews, 1 mention).</t>
  </si>
  <si>
    <t xml:space="preserve">Weak reminders and manual tracking are mentioned as often as information scattering.</t>
  </si>
  <si>
    <t xml:space="preserve">All three themes sit at 8/25 (32%) in the Theme Summary — a three-way tie, not one dominant theme.</t>
  </si>
  <si>
    <t xml:space="preserve">The problem is not a single narrow issue; multiple related pain points would need to be addressed together.</t>
  </si>
  <si>
    <t xml:space="preserve">A small subset of students report no real problem at all.</t>
  </si>
  <si>
    <t xml:space="preserve">2 respondents (8%) said they 'Never' miss deadlines or answered 'No' to every open-ended question.</t>
  </si>
  <si>
    <t xml:space="preserve">Not every student is an equally strong target user — this subset should likely be excluded from early targeting.</t>
  </si>
  <si>
    <t xml:space="preserve">B. Strongest User Problems (Ranked)</t>
  </si>
  <si>
    <t xml:space="preserve">Ranking considers frequency (how many students mentioned it) AND user impact (how disruptive it sounds in respondents' own words) together — frequency alone is not treated as the same thing as severity, per the Theme Summary and Pain Point Summary sheets.</t>
  </si>
  <si>
    <t xml:space="preserve">Rank</t>
  </si>
  <si>
    <t xml:space="preserve">Problem</t>
  </si>
  <si>
    <t xml:space="preserve">Why This Rank</t>
  </si>
  <si>
    <t xml:space="preserve">1</t>
  </si>
  <si>
    <t xml:space="preserve">Information scattered across platforms / channels</t>
  </si>
  <si>
    <t xml:space="preserve">Tied for most-mentioned (8/25) AND multiple respondents describe direct consequences (missed application deadlines, buried emails) — high frequency and clear impact.</t>
  </si>
  <si>
    <t xml:space="preserve">2</t>
  </si>
  <si>
    <t xml:space="preserve">Weak or inconsistent reminders</t>
  </si>
  <si>
    <t xml:space="preserve">Tied for most-mentioned (8/25); several respondents link this directly to a specific missed task, suggesting real impact, not just annoyance.</t>
  </si>
  <si>
    <t xml:space="preserve">3</t>
  </si>
  <si>
    <t xml:space="preserve">Manual, effort-heavy tracking</t>
  </si>
  <si>
    <t xml:space="preserve">Tied for most-mentioned (8/25); overlaps with the two problems above, since manual tracking is often the reason reminders/scattering matter.</t>
  </si>
  <si>
    <t xml:space="preserve">4</t>
  </si>
  <si>
    <t xml:space="preserve">Time management / competing responsibilities</t>
  </si>
  <si>
    <t xml:space="preserve">Mentioned by 7/25 and 5/25 respectively; real but appears to be a broader life-management issue that a tool may only partly address.</t>
  </si>
  <si>
    <t xml:space="preserve">5</t>
  </si>
  <si>
    <t xml:space="preserve">Only 2/25 respondents self-identified this directly; too small a signal to prioritize yet, but worth tracking in further research.</t>
  </si>
  <si>
    <t xml:space="preserve">C. Research Limitations</t>
  </si>
  <si>
    <t xml:space="preserve">• Small sample size: only 25 responses, which limits how confidently findings generalize to the wider student population.</t>
  </si>
  <si>
    <t xml:space="preserve">• Uneven year distribution: 17 of 25 respondents (68%) are 4th-year students; 1st, 2nd, and 3rd year are each represented by only 2-4 respondents, so year-based comparisons are not reliable.</t>
  </si>
  <si>
    <t xml:space="preserve">• Uneven course/branch distribution: the sample is dominated by Computer Science-related branches (CSE, AI/ML, BTech CSE), with only a few non-CS respondents (e.g. BBA, BA Honours, BCA).</t>
  </si>
  <si>
    <t xml:space="preserve">• Self-reported data: frequency of forgetting and difficulty descriptions rely on respondents' own memory and self-assessment, which can be inconsistent (e.g. one respondent reported 'Very Often' missing deadlines but answered 'No' to every open-ended follow-up question).</t>
  </si>
  <si>
    <t xml:space="preserve">• Single data-collection method: all data comes from one Google Form; no interviews or observational data are available to cross-check these self-reports.</t>
  </si>
  <si>
    <t xml:space="preserve">• Some responses are incomplete or low-effort: several respondents left open-ended questions blank or gave very short, low-detail answers, which limits the depth of qualitative analysis available.</t>
  </si>
  <si>
    <t xml:space="preserve">D. Target User Hypothesis</t>
  </si>
  <si>
    <t xml:space="preserve">HYPOTHESIS (not directly proven by this data): Later-year engineering/CS students who juggle multiple parallel commitments — coursework, project deadlines, and internship/placement applications — appear most likely to benefit, since this group is over-represented among respondents reporting frequent missed deadlines and multi-channel information scattering. This is a hypothesis because the sample's year and branch skew make it impossible to confirm this group is more affected than others who are simply under-represented here.</t>
  </si>
  <si>
    <t xml:space="preserve">E. Draft Problem Statement</t>
  </si>
  <si>
    <t xml:space="preserve">College students, especially those managing several parallel deadlines (assignments, forms, project and placement deadlines), struggle to keep track of important tasks because the information lives across many separate channels (WhatsApp, email, college portal, calendars) and current reminder systems are weak or manually maintained, resulting in missed deadlines, lost opportunities (e.g. placement applications), and last-minute stress.</t>
  </si>
  <si>
    <t xml:space="preserve">F. Product Opportunity (direction only — no feature set yet)</t>
  </si>
  <si>
    <t xml:space="preserve">The research suggests an opportunity around reducing the manual effort of tracking college deadlines — likely by bringing scattered information into one place and/or making reminders more reliable and less effort to set up. This is a directional opportunity area, not a defined feature set or MVP; multiple different solutions (e.g. a unified dashboard, smarter reminders, or automatic deadline capture) could address it, and choosing between them requires further validation.</t>
  </si>
  <si>
    <t xml:space="preserve">G. Recommended Next Step</t>
  </si>
  <si>
    <t xml:space="preserve">• Validate the problem with a second, more targeted round of research (e.g. short interviews) focused on the hypothesized target segment (later-year students juggling multiple deadlines), since the current sample is small and skewed toward 4th year.</t>
  </si>
  <si>
    <t xml:space="preserve">• Deliberately collect responses from underrepresented segments (1st-3rd year, non-CS branches) to check whether the same pain points hold, or whether the problem looks different for them.</t>
  </si>
  <si>
    <t xml:space="preserve">• Prioritize the top-ranked problems (information scattering, weak reminders, manual tracking) for deeper investigation before scoping any solution or MVP, since they are tied in frequency and may need to be tackled together.</t>
  </si>
  <si>
    <t xml:space="preserve">• Only after validation, move on to defining a specific MVP and feature set — this workbook intentionally stops short of that step.</t>
  </si>
</sst>
</file>

<file path=xl/styles.xml><?xml version="1.0" encoding="utf-8"?>
<styleSheet xmlns="http://schemas.openxmlformats.org/spreadsheetml/2006/main">
  <numFmts count="3">
    <numFmt numFmtId="164" formatCode="General"/>
    <numFmt numFmtId="165" formatCode="General"/>
    <numFmt numFmtId="166" formatCode="0.0%"/>
  </numFmts>
  <fonts count="16">
    <font>
      <sz val="11"/>
      <color rgb="FF000000"/>
      <name val="Calibri"/>
      <family val="2"/>
      <charset val="1"/>
    </font>
    <font>
      <sz val="10"/>
      <name val="Arial"/>
      <family val="0"/>
    </font>
    <font>
      <sz val="10"/>
      <name val="Arial"/>
      <family val="0"/>
    </font>
    <font>
      <sz val="10"/>
      <name val="Arial"/>
      <family val="0"/>
    </font>
    <font>
      <b val="true"/>
      <sz val="10"/>
      <color rgb="FFFFFFFF"/>
      <name val="Arial"/>
      <family val="0"/>
      <charset val="1"/>
    </font>
    <font>
      <sz val="10"/>
      <name val="Arial"/>
      <family val="0"/>
      <charset val="1"/>
    </font>
    <font>
      <b val="true"/>
      <sz val="14"/>
      <color rgb="FFFFFFFF"/>
      <name val="Arial"/>
      <family val="0"/>
      <charset val="1"/>
    </font>
    <font>
      <i val="true"/>
      <sz val="9"/>
      <color rgb="FF666666"/>
      <name val="Arial"/>
      <family val="0"/>
      <charset val="1"/>
    </font>
    <font>
      <b val="true"/>
      <sz val="11"/>
      <color rgb="FF1F1F1F"/>
      <name val="Arial"/>
      <family val="0"/>
      <charset val="1"/>
    </font>
    <font>
      <b val="true"/>
      <sz val="10"/>
      <name val="Arial"/>
      <family val="0"/>
      <charset val="1"/>
    </font>
    <font>
      <b val="true"/>
      <sz val="11"/>
      <name val="Arial"/>
      <family val="0"/>
      <charset val="1"/>
    </font>
    <font>
      <b val="true"/>
      <sz val="18"/>
      <color rgb="FF000000"/>
      <name val="Calibri"/>
      <family val="2"/>
    </font>
    <font>
      <sz val="10"/>
      <color rgb="FF000000"/>
      <name val="Calibri"/>
      <family val="2"/>
    </font>
    <font>
      <b val="true"/>
      <sz val="10"/>
      <color rgb="FF000000"/>
      <name val="Calibri"/>
      <family val="2"/>
    </font>
    <font>
      <b val="true"/>
      <sz val="13"/>
      <color rgb="FFFFFFFF"/>
      <name val="Arial"/>
      <family val="0"/>
      <charset val="1"/>
    </font>
    <font>
      <i val="true"/>
      <sz val="10"/>
      <name val="Arial"/>
      <family val="0"/>
      <charset val="1"/>
    </font>
  </fonts>
  <fills count="7">
    <fill>
      <patternFill patternType="none"/>
    </fill>
    <fill>
      <patternFill patternType="gray125"/>
    </fill>
    <fill>
      <patternFill patternType="solid">
        <fgColor rgb="FF2F5496"/>
        <bgColor rgb="FF0066CC"/>
      </patternFill>
    </fill>
    <fill>
      <patternFill patternType="solid">
        <fgColor rgb="FFF2F2F2"/>
        <bgColor rgb="FFFFFFFF"/>
      </patternFill>
    </fill>
    <fill>
      <patternFill patternType="solid">
        <fgColor rgb="FFD9E1F2"/>
        <bgColor rgb="FFD9D9D9"/>
      </patternFill>
    </fill>
    <fill>
      <patternFill patternType="solid">
        <fgColor rgb="FFFFF2CC"/>
        <bgColor rgb="FFF2F2F2"/>
      </patternFill>
    </fill>
    <fill>
      <patternFill patternType="solid">
        <fgColor rgb="FFFFFFFF"/>
        <bgColor rgb="FFF2F2F2"/>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9">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2" borderId="1" xfId="0" applyFont="true" applyBorder="true" applyAlignment="true" applyProtection="true">
      <alignment horizontal="center" vertical="center" textRotation="0" wrapText="true" indent="0" shrinkToFit="false"/>
      <protection locked="true" hidden="false"/>
    </xf>
    <xf numFmtId="164" fontId="5" fillId="0" borderId="1" xfId="0" applyFont="true" applyBorder="true" applyAlignment="true" applyProtection="true">
      <alignment horizontal="general" vertical="top" textRotation="0" wrapText="true" indent="0" shrinkToFit="false"/>
      <protection locked="true" hidden="false"/>
    </xf>
    <xf numFmtId="164" fontId="6" fillId="2" borderId="0" xfId="0" applyFont="true" applyBorder="true" applyAlignment="true" applyProtection="true">
      <alignment horizontal="general" vertical="center" textRotation="0" wrapText="false" indent="0" shrinkToFit="false"/>
      <protection locked="true" hidden="false"/>
    </xf>
    <xf numFmtId="164" fontId="7" fillId="0" borderId="0" xfId="0" applyFont="true" applyBorder="true" applyAlignment="true" applyProtection="true">
      <alignment horizontal="general" vertical="top" textRotation="0" wrapText="true" indent="0" shrinkToFit="false"/>
      <protection locked="true" hidden="false"/>
    </xf>
    <xf numFmtId="164" fontId="8" fillId="3" borderId="0" xfId="0" applyFont="true" applyBorder="true" applyAlignment="true" applyProtection="true">
      <alignment horizontal="general" vertical="bottom" textRotation="0" wrapText="false" indent="0" shrinkToFit="false"/>
      <protection locked="true" hidden="false"/>
    </xf>
    <xf numFmtId="164" fontId="9" fillId="0" borderId="1" xfId="0" applyFont="true" applyBorder="true" applyAlignment="true" applyProtection="true">
      <alignment horizontal="left" vertical="center" textRotation="0" wrapText="false" indent="0" shrinkToFit="false"/>
      <protection locked="true" hidden="false"/>
    </xf>
    <xf numFmtId="165" fontId="10" fillId="0" borderId="1" xfId="0" applyFont="true" applyBorder="true" applyAlignment="true" applyProtection="true">
      <alignment horizontal="left" vertical="center" textRotation="0" wrapText="false" indent="0" shrinkToFit="false"/>
      <protection locked="true" hidden="false"/>
    </xf>
    <xf numFmtId="164" fontId="9" fillId="4" borderId="1" xfId="0" applyFont="true" applyBorder="true" applyAlignment="true" applyProtection="true">
      <alignment horizontal="center" vertical="center" textRotation="0" wrapText="true" indent="0" shrinkToFit="false"/>
      <protection locked="true" hidden="false"/>
    </xf>
    <xf numFmtId="164" fontId="5" fillId="0" borderId="1" xfId="0" applyFont="true" applyBorder="true" applyAlignment="true" applyProtection="true">
      <alignment horizontal="left" vertical="center" textRotation="0" wrapText="false" indent="0" shrinkToFit="false"/>
      <protection locked="true" hidden="false"/>
    </xf>
    <xf numFmtId="165" fontId="5" fillId="0" borderId="1" xfId="0" applyFont="true" applyBorder="true" applyAlignment="true" applyProtection="true">
      <alignment horizontal="center" vertical="center" textRotation="0" wrapText="false" indent="0" shrinkToFit="false"/>
      <protection locked="true" hidden="false"/>
    </xf>
    <xf numFmtId="166" fontId="5" fillId="0" borderId="1" xfId="0" applyFont="true" applyBorder="true" applyAlignment="true" applyProtection="true">
      <alignment horizontal="center" vertical="center" textRotation="0" wrapText="false" indent="0" shrinkToFit="false"/>
      <protection locked="true" hidden="false"/>
    </xf>
    <xf numFmtId="165" fontId="9" fillId="0" borderId="1" xfId="0" applyFont="true" applyBorder="true" applyAlignment="true" applyProtection="true">
      <alignment horizontal="center" vertical="center" textRotation="0" wrapText="false" indent="0" shrinkToFit="false"/>
      <protection locked="true" hidden="false"/>
    </xf>
    <xf numFmtId="166" fontId="9" fillId="0" borderId="1" xfId="0" applyFont="true" applyBorder="true" applyAlignment="true" applyProtection="true">
      <alignment horizontal="center" vertical="center" textRotation="0" wrapText="false" indent="0" shrinkToFit="false"/>
      <protection locked="true" hidden="false"/>
    </xf>
    <xf numFmtId="164" fontId="5" fillId="5" borderId="0" xfId="0" applyFont="true" applyBorder="true" applyAlignment="true" applyProtection="true">
      <alignment horizontal="general" vertical="center" textRotation="0" wrapText="true" indent="0" shrinkToFit="false"/>
      <protection locked="true" hidden="false"/>
    </xf>
    <xf numFmtId="164" fontId="6" fillId="2" borderId="0" xfId="0" applyFont="true" applyBorder="true" applyAlignment="true" applyProtection="true">
      <alignment horizontal="general" vertical="bottom" textRotation="0" wrapText="false" indent="0" shrinkToFit="false"/>
      <protection locked="true" hidden="false"/>
    </xf>
    <xf numFmtId="164" fontId="14" fillId="2" borderId="0" xfId="0" applyFont="true" applyBorder="true" applyAlignment="true" applyProtection="true">
      <alignment horizontal="general" vertical="center" textRotation="0" wrapText="false" indent="0" shrinkToFit="false"/>
      <protection locked="true" hidden="false"/>
    </xf>
    <xf numFmtId="164" fontId="9" fillId="0" borderId="1" xfId="0" applyFont="true" applyBorder="true" applyAlignment="true" applyProtection="true">
      <alignment horizontal="center" vertical="top" textRotation="0" wrapText="false" indent="0" shrinkToFit="false"/>
      <protection locked="true" hidden="false"/>
    </xf>
    <xf numFmtId="165" fontId="5" fillId="0" borderId="1" xfId="0" applyFont="true" applyBorder="true" applyAlignment="true" applyProtection="true">
      <alignment horizontal="center" vertical="top" textRotation="0" wrapText="false" indent="0" shrinkToFit="false"/>
      <protection locked="true" hidden="false"/>
    </xf>
    <xf numFmtId="164" fontId="15" fillId="0" borderId="1" xfId="0" applyFont="true" applyBorder="true" applyAlignment="true" applyProtection="true">
      <alignment horizontal="general" vertical="top" textRotation="0" wrapText="true" indent="0" shrinkToFit="false"/>
      <protection locked="true" hidden="false"/>
    </xf>
    <xf numFmtId="164" fontId="9" fillId="0" borderId="1" xfId="0" applyFont="true" applyBorder="true" applyAlignment="true" applyProtection="true">
      <alignment horizontal="general" vertical="top" textRotation="0" wrapText="true" indent="0" shrinkToFit="false"/>
      <protection locked="true" hidden="false"/>
    </xf>
    <xf numFmtId="166" fontId="5" fillId="0" borderId="1" xfId="0" applyFont="true" applyBorder="true" applyAlignment="true" applyProtection="true">
      <alignment horizontal="center" vertical="top" textRotation="0" wrapText="false" indent="0" shrinkToFit="false"/>
      <protection locked="true" hidden="false"/>
    </xf>
    <xf numFmtId="164" fontId="9" fillId="0" borderId="1" xfId="0" applyFont="true" applyBorder="true" applyAlignment="true" applyProtection="true">
      <alignment horizontal="left" vertical="top" textRotation="0" wrapText="true" indent="0" shrinkToFit="false"/>
      <protection locked="true" hidden="false"/>
    </xf>
    <xf numFmtId="164" fontId="5" fillId="0" borderId="1" xfId="0" applyFont="true" applyBorder="true" applyAlignment="true" applyProtection="true">
      <alignment horizontal="left" vertical="top" textRotation="0" wrapText="true" indent="0" shrinkToFit="false"/>
      <protection locked="true" hidden="false"/>
    </xf>
    <xf numFmtId="165" fontId="5" fillId="0" borderId="1" xfId="0" applyFont="true" applyBorder="true" applyAlignment="true" applyProtection="true">
      <alignment horizontal="center" vertical="top" textRotation="0" wrapText="true" indent="0" shrinkToFit="false"/>
      <protection locked="true" hidden="false"/>
    </xf>
    <xf numFmtId="164" fontId="5" fillId="0" borderId="0" xfId="0" applyFont="true" applyBorder="true" applyAlignment="true" applyProtection="true">
      <alignment horizontal="general" vertical="top" textRotation="0" wrapText="true" indent="0" shrinkToFit="false"/>
      <protection locked="true" hidden="false"/>
    </xf>
    <xf numFmtId="164" fontId="5" fillId="6" borderId="0" xfId="0" applyFont="true" applyBorder="true" applyAlignment="true" applyProtection="true">
      <alignment horizontal="general" vertical="top" textRotation="0" wrapText="true" indent="0" shrinkToFit="false"/>
      <protection locked="true" hidden="false"/>
    </xf>
    <xf numFmtId="164" fontId="0" fillId="6" borderId="0" xfId="0" applyFont="fals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C00000"/>
      <rgbColor rgb="FF00FF00"/>
      <rgbColor rgb="FF0000FF"/>
      <rgbColor rgb="FFFFFF00"/>
      <rgbColor rgb="FFFF00FF"/>
      <rgbColor rgb="FF00FFFF"/>
      <rgbColor rgb="FF800000"/>
      <rgbColor rgb="FF008000"/>
      <rgbColor rgb="FF000080"/>
      <rgbColor rgb="FF548235"/>
      <rgbColor rgb="FF800080"/>
      <rgbColor rgb="FF008080"/>
      <rgbColor rgb="FFBFBFBF"/>
      <rgbColor rgb="FF808080"/>
      <rgbColor rgb="FF9999FF"/>
      <rgbColor rgb="FF993366"/>
      <rgbColor rgb="FFFFF2CC"/>
      <rgbColor rgb="FFF2F2F2"/>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D9E1F2"/>
      <rgbColor rgb="FFCCFFCC"/>
      <rgbColor rgb="FFFFFF99"/>
      <rgbColor rgb="FF99CCFF"/>
      <rgbColor rgb="FFFF99CC"/>
      <rgbColor rgb="FFCC99FF"/>
      <rgbColor rgb="FFFFCC99"/>
      <rgbColor rgb="FF4F81BD"/>
      <rgbColor rgb="FF33CCCC"/>
      <rgbColor rgb="FF99CC00"/>
      <rgbColor rgb="FFFFCC00"/>
      <rgbColor rgb="FFBF8F00"/>
      <rgbColor rgb="FFFF6600"/>
      <rgbColor rgb="FF666666"/>
      <rgbColor rgb="FFB3B3B3"/>
      <rgbColor rgb="FF003366"/>
      <rgbColor rgb="FF339966"/>
      <rgbColor rgb="FF003300"/>
      <rgbColor rgb="FF333300"/>
      <rgbColor rgb="FF993300"/>
      <rgbColor rgb="FF993366"/>
      <rgbColor rgb="FF2F5496"/>
      <rgbColor rgb="FF1F1F1F"/>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worksheet" Target="worksheets/sheet6.xml"/><Relationship Id="rId8" Type="http://schemas.openxmlformats.org/officeDocument/2006/relationships/worksheet" Target="worksheets/sheet7.xml"/><Relationship Id="rId9"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Year Distribution (Count)</a:t>
            </a:r>
          </a:p>
        </c:rich>
      </c:tx>
      <c:overlay val="0"/>
      <c:spPr>
        <a:noFill/>
        <a:ln w="0">
          <a:noFill/>
        </a:ln>
      </c:spPr>
    </c:title>
    <c:autoTitleDeleted val="0"/>
    <c:plotArea>
      <c:barChart>
        <c:barDir val="col"/>
        <c:grouping val="clustered"/>
        <c:varyColors val="0"/>
        <c:ser>
          <c:idx val="0"/>
          <c:order val="0"/>
          <c:spPr>
            <a:solidFill>
              <a:srgbClr val="4f81bd"/>
            </a:solidFill>
            <a:ln w="0">
              <a:solidFill>
                <a:srgbClr val="000000"/>
              </a:solidFill>
            </a:ln>
          </c:spPr>
          <c:invertIfNegative val="0"/>
          <c:dLbls>
            <c:txPr>
              <a:bodyPr wrap="square"/>
              <a:lstStyle/>
              <a:p>
                <a:pPr>
                  <a:defRPr b="0" sz="1000" spc="-1" strike="noStrike">
                    <a:solidFill>
                      <a:srgbClr val="000000"/>
                    </a:solidFill>
                    <a:latin typeface="Arial"/>
                  </a:defRPr>
                </a:pPr>
              </a:p>
            </c:txPr>
            <c:dLblPos val="outEnd"/>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'Quantitative Analysis'!$A$8:$A$11</c:f>
              <c:strCache>
                <c:ptCount val="4"/>
                <c:pt idx="0">
                  <c:v>1st</c:v>
                </c:pt>
                <c:pt idx="1">
                  <c:v>2nd</c:v>
                </c:pt>
                <c:pt idx="2">
                  <c:v>3rd</c:v>
                </c:pt>
                <c:pt idx="3">
                  <c:v>4th</c:v>
                </c:pt>
              </c:strCache>
            </c:strRef>
          </c:cat>
          <c:val>
            <c:numRef>
              <c:f>'Quantitative Analysis'!$B$8:$B$11</c:f>
              <c:numCache>
                <c:formatCode>General</c:formatCode>
                <c:ptCount val="4"/>
                <c:pt idx="0">
                  <c:v>4</c:v>
                </c:pt>
                <c:pt idx="1">
                  <c:v>2</c:v>
                </c:pt>
                <c:pt idx="2">
                  <c:v>2</c:v>
                </c:pt>
                <c:pt idx="3">
                  <c:v>17</c:v>
                </c:pt>
              </c:numCache>
            </c:numRef>
          </c:val>
        </c:ser>
        <c:gapWidth val="150"/>
        <c:overlap val="0"/>
        <c:axId val="66825363"/>
        <c:axId val="30802071"/>
      </c:barChart>
      <c:catAx>
        <c:axId val="66825363"/>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Year of Study</a:t>
                </a:r>
              </a:p>
            </c:rich>
          </c:tx>
          <c:overlay val="0"/>
          <c:spPr>
            <a:noFill/>
            <a:ln w="0">
              <a:noFill/>
            </a:ln>
          </c:spPr>
        </c:title>
        <c:numFmt formatCode="General" sourceLinked="0"/>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30802071"/>
        <c:crosses val="autoZero"/>
        <c:auto val="1"/>
        <c:lblAlgn val="ctr"/>
        <c:lblOffset val="100"/>
        <c:noMultiLvlLbl val="0"/>
      </c:catAx>
      <c:valAx>
        <c:axId val="30802071"/>
        <c:scaling>
          <c:orientation val="minMax"/>
        </c:scaling>
        <c:delete val="0"/>
        <c:axPos val="l"/>
        <c:majorGridlines>
          <c:spPr>
            <a:ln w="0">
              <a:solidFill>
                <a:srgbClr val="b3b3b3"/>
              </a:solidFill>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Number of Respondents</a:t>
                </a:r>
              </a:p>
            </c:rich>
          </c:tx>
          <c:overlay val="0"/>
          <c:spPr>
            <a:noFill/>
            <a:ln w="0">
              <a:noFill/>
            </a:ln>
          </c:spPr>
        </c:title>
        <c:numFmt formatCode="General" sourceLinked="0"/>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66825363"/>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Number of Tools/Platforms Used (Count)</a:t>
            </a:r>
          </a:p>
        </c:rich>
      </c:tx>
      <c:overlay val="0"/>
      <c:spPr>
        <a:noFill/>
        <a:ln w="0">
          <a:noFill/>
        </a:ln>
      </c:spPr>
    </c:title>
    <c:autoTitleDeleted val="0"/>
    <c:plotArea>
      <c:barChart>
        <c:barDir val="col"/>
        <c:grouping val="clustered"/>
        <c:varyColors val="0"/>
        <c:ser>
          <c:idx val="0"/>
          <c:order val="0"/>
          <c:spPr>
            <a:solidFill>
              <a:srgbClr val="4f81bd"/>
            </a:solidFill>
            <a:ln w="0">
              <a:solidFill>
                <a:srgbClr val="000000"/>
              </a:solidFill>
            </a:ln>
          </c:spPr>
          <c:invertIfNegative val="0"/>
          <c:dLbls>
            <c:txPr>
              <a:bodyPr wrap="square"/>
              <a:lstStyle/>
              <a:p>
                <a:pPr>
                  <a:defRPr b="0" sz="1000" spc="-1" strike="noStrike">
                    <a:solidFill>
                      <a:srgbClr val="000000"/>
                    </a:solidFill>
                    <a:latin typeface="Arial"/>
                  </a:defRPr>
                </a:pPr>
              </a:p>
            </c:txPr>
            <c:dLblPos val="outEnd"/>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'Quantitative Analysis'!$A$16:$A$19</c:f>
              <c:strCache>
                <c:ptCount val="4"/>
                <c:pt idx="0">
                  <c:v>0-1</c:v>
                </c:pt>
                <c:pt idx="1">
                  <c:v>2-3</c:v>
                </c:pt>
                <c:pt idx="2">
                  <c:v>4-5</c:v>
                </c:pt>
                <c:pt idx="3">
                  <c:v>6+</c:v>
                </c:pt>
              </c:strCache>
            </c:strRef>
          </c:cat>
          <c:val>
            <c:numRef>
              <c:f>'Quantitative Analysis'!$B$16:$B$19</c:f>
              <c:numCache>
                <c:formatCode>General</c:formatCode>
                <c:ptCount val="4"/>
                <c:pt idx="0">
                  <c:v>6</c:v>
                </c:pt>
                <c:pt idx="1">
                  <c:v>12</c:v>
                </c:pt>
                <c:pt idx="2">
                  <c:v>4</c:v>
                </c:pt>
                <c:pt idx="3">
                  <c:v>3</c:v>
                </c:pt>
              </c:numCache>
            </c:numRef>
          </c:val>
        </c:ser>
        <c:gapWidth val="150"/>
        <c:overlap val="0"/>
        <c:axId val="32326874"/>
        <c:axId val="79629905"/>
      </c:barChart>
      <c:catAx>
        <c:axId val="32326874"/>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Tools Used</a:t>
                </a:r>
              </a:p>
            </c:rich>
          </c:tx>
          <c:overlay val="0"/>
          <c:spPr>
            <a:noFill/>
            <a:ln w="0">
              <a:noFill/>
            </a:ln>
          </c:spPr>
        </c:title>
        <c:numFmt formatCode="General" sourceLinked="0"/>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79629905"/>
        <c:crosses val="autoZero"/>
        <c:auto val="1"/>
        <c:lblAlgn val="ctr"/>
        <c:lblOffset val="100"/>
        <c:noMultiLvlLbl val="0"/>
      </c:catAx>
      <c:valAx>
        <c:axId val="79629905"/>
        <c:scaling>
          <c:orientation val="minMax"/>
        </c:scaling>
        <c:delete val="0"/>
        <c:axPos val="l"/>
        <c:majorGridlines>
          <c:spPr>
            <a:ln w="0">
              <a:solidFill>
                <a:srgbClr val="b3b3b3"/>
              </a:solidFill>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Number of Respondents</a:t>
                </a:r>
              </a:p>
            </c:rich>
          </c:tx>
          <c:overlay val="0"/>
          <c:spPr>
            <a:noFill/>
            <a:ln w="0">
              <a:noFill/>
            </a:ln>
          </c:spPr>
        </c:title>
        <c:numFmt formatCode="General" sourceLinked="0"/>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32326874"/>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Frequency of Forgetting/Missing Tasks (Count)</a:t>
            </a:r>
          </a:p>
        </c:rich>
      </c:tx>
      <c:overlay val="0"/>
      <c:spPr>
        <a:noFill/>
        <a:ln w="0">
          <a:noFill/>
        </a:ln>
      </c:spPr>
    </c:title>
    <c:autoTitleDeleted val="0"/>
    <c:plotArea>
      <c:barChart>
        <c:barDir val="col"/>
        <c:grouping val="clustered"/>
        <c:varyColors val="0"/>
        <c:ser>
          <c:idx val="0"/>
          <c:order val="0"/>
          <c:spPr>
            <a:solidFill>
              <a:srgbClr val="4f81bd"/>
            </a:solidFill>
            <a:ln w="0">
              <a:solidFill>
                <a:srgbClr val="000000"/>
              </a:solidFill>
            </a:ln>
          </c:spPr>
          <c:invertIfNegative val="0"/>
          <c:dLbls>
            <c:txPr>
              <a:bodyPr wrap="square"/>
              <a:lstStyle/>
              <a:p>
                <a:pPr>
                  <a:defRPr b="0" sz="1000" spc="-1" strike="noStrike">
                    <a:solidFill>
                      <a:srgbClr val="000000"/>
                    </a:solidFill>
                    <a:latin typeface="Arial"/>
                  </a:defRPr>
                </a:pPr>
              </a:p>
            </c:txPr>
            <c:dLblPos val="outEnd"/>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'Quantitative Analysis'!$A$26:$A$30</c:f>
              <c:strCache>
                <c:ptCount val="5"/>
                <c:pt idx="0">
                  <c:v>Never</c:v>
                </c:pt>
                <c:pt idx="1">
                  <c:v>Rarely</c:v>
                </c:pt>
                <c:pt idx="2">
                  <c:v>Sometimes</c:v>
                </c:pt>
                <c:pt idx="3">
                  <c:v>Often</c:v>
                </c:pt>
                <c:pt idx="4">
                  <c:v>Very Often</c:v>
                </c:pt>
              </c:strCache>
            </c:strRef>
          </c:cat>
          <c:val>
            <c:numRef>
              <c:f>'Quantitative Analysis'!$B$26:$B$30</c:f>
              <c:numCache>
                <c:formatCode>General</c:formatCode>
                <c:ptCount val="5"/>
                <c:pt idx="0">
                  <c:v>1</c:v>
                </c:pt>
                <c:pt idx="1">
                  <c:v>10</c:v>
                </c:pt>
                <c:pt idx="2">
                  <c:v>11</c:v>
                </c:pt>
                <c:pt idx="3">
                  <c:v>1</c:v>
                </c:pt>
                <c:pt idx="4">
                  <c:v>2</c:v>
                </c:pt>
              </c:numCache>
            </c:numRef>
          </c:val>
        </c:ser>
        <c:gapWidth val="150"/>
        <c:overlap val="0"/>
        <c:axId val="37663536"/>
        <c:axId val="977093"/>
      </c:barChart>
      <c:catAx>
        <c:axId val="37663536"/>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Frequency</a:t>
                </a:r>
              </a:p>
            </c:rich>
          </c:tx>
          <c:overlay val="0"/>
          <c:spPr>
            <a:noFill/>
            <a:ln w="0">
              <a:noFill/>
            </a:ln>
          </c:spPr>
        </c:title>
        <c:numFmt formatCode="General" sourceLinked="0"/>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977093"/>
        <c:crosses val="autoZero"/>
        <c:auto val="1"/>
        <c:lblAlgn val="ctr"/>
        <c:lblOffset val="100"/>
        <c:noMultiLvlLbl val="0"/>
      </c:catAx>
      <c:valAx>
        <c:axId val="977093"/>
        <c:scaling>
          <c:orientation val="minMax"/>
        </c:scaling>
        <c:delete val="0"/>
        <c:axPos val="l"/>
        <c:majorGridlines>
          <c:spPr>
            <a:ln w="0">
              <a:solidFill>
                <a:srgbClr val="b3b3b3"/>
              </a:solidFill>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Number of Respondents</a:t>
                </a:r>
              </a:p>
            </c:rich>
          </c:tx>
          <c:overlay val="0"/>
          <c:spPr>
            <a:noFill/>
            <a:ln w="0">
              <a:noFill/>
            </a:ln>
          </c:spPr>
        </c:title>
        <c:numFmt formatCode="General" sourceLinked="0"/>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37663536"/>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4.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Things Students Forget/Struggle to Track (Mentions)</a:t>
            </a:r>
          </a:p>
        </c:rich>
      </c:tx>
      <c:overlay val="0"/>
      <c:spPr>
        <a:noFill/>
        <a:ln w="0">
          <a:noFill/>
        </a:ln>
      </c:spPr>
    </c:title>
    <c:autoTitleDeleted val="0"/>
    <c:plotArea>
      <c:barChart>
        <c:barDir val="col"/>
        <c:grouping val="clustered"/>
        <c:varyColors val="0"/>
        <c:ser>
          <c:idx val="0"/>
          <c:order val="0"/>
          <c:spPr>
            <a:solidFill>
              <a:srgbClr val="4f81bd"/>
            </a:solidFill>
            <a:ln w="0">
              <a:solidFill>
                <a:srgbClr val="000000"/>
              </a:solidFill>
            </a:ln>
          </c:spPr>
          <c:invertIfNegative val="0"/>
          <c:dLbls>
            <c:txPr>
              <a:bodyPr wrap="square"/>
              <a:lstStyle/>
              <a:p>
                <a:pPr>
                  <a:defRPr b="0" sz="1000" spc="-1" strike="noStrike">
                    <a:solidFill>
                      <a:srgbClr val="000000"/>
                    </a:solidFill>
                    <a:latin typeface="Arial"/>
                  </a:defRPr>
                </a:pPr>
              </a:p>
            </c:txPr>
            <c:dLblPos val="outEnd"/>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'Quantitative Analysis'!$A$37:$A$46</c:f>
              <c:strCache>
                <c:ptCount val="10"/>
                <c:pt idx="0">
                  <c:v>Assignments</c:v>
                </c:pt>
                <c:pt idx="1">
                  <c:v>Exams</c:v>
                </c:pt>
                <c:pt idx="2">
                  <c:v>Form/application deadlines</c:v>
                </c:pt>
                <c:pt idx="3">
                  <c:v>Project Deadlines</c:v>
                </c:pt>
                <c:pt idx="4">
                  <c:v>Faculty meetings</c:v>
                </c:pt>
                <c:pt idx="5">
                  <c:v>College events</c:v>
                </c:pt>
                <c:pt idx="6">
                  <c:v>Internship/placement applicationns</c:v>
                </c:pt>
                <c:pt idx="7">
                  <c:v>Personal Tasks</c:v>
                </c:pt>
                <c:pt idx="8">
                  <c:v>Interviews</c:v>
                </c:pt>
                <c:pt idx="9">
                  <c:v>Other</c:v>
                </c:pt>
              </c:strCache>
            </c:strRef>
          </c:cat>
          <c:val>
            <c:numRef>
              <c:f>'Quantitative Analysis'!$B$37:$B$46</c:f>
              <c:numCache>
                <c:formatCode>General</c:formatCode>
                <c:ptCount val="10"/>
                <c:pt idx="0">
                  <c:v>14</c:v>
                </c:pt>
                <c:pt idx="1">
                  <c:v>5</c:v>
                </c:pt>
                <c:pt idx="2">
                  <c:v>14</c:v>
                </c:pt>
                <c:pt idx="3">
                  <c:v>10</c:v>
                </c:pt>
                <c:pt idx="4">
                  <c:v>4</c:v>
                </c:pt>
                <c:pt idx="5">
                  <c:v>3</c:v>
                </c:pt>
                <c:pt idx="6">
                  <c:v>6</c:v>
                </c:pt>
                <c:pt idx="7">
                  <c:v>4</c:v>
                </c:pt>
                <c:pt idx="8">
                  <c:v>1</c:v>
                </c:pt>
                <c:pt idx="9">
                  <c:v>1</c:v>
                </c:pt>
              </c:numCache>
            </c:numRef>
          </c:val>
        </c:ser>
        <c:gapWidth val="150"/>
        <c:overlap val="0"/>
        <c:axId val="4052208"/>
        <c:axId val="54445633"/>
      </c:barChart>
      <c:catAx>
        <c:axId val="4052208"/>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Category</a:t>
                </a:r>
              </a:p>
            </c:rich>
          </c:tx>
          <c:overlay val="0"/>
          <c:spPr>
            <a:noFill/>
            <a:ln w="0">
              <a:noFill/>
            </a:ln>
          </c:spPr>
        </c:title>
        <c:numFmt formatCode="General" sourceLinked="0"/>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54445633"/>
        <c:crosses val="autoZero"/>
        <c:auto val="1"/>
        <c:lblAlgn val="ctr"/>
        <c:lblOffset val="100"/>
        <c:noMultiLvlLbl val="0"/>
      </c:catAx>
      <c:valAx>
        <c:axId val="54445633"/>
        <c:scaling>
          <c:orientation val="minMax"/>
        </c:scaling>
        <c:delete val="0"/>
        <c:axPos val="l"/>
        <c:majorGridlines>
          <c:spPr>
            <a:ln w="0">
              <a:solidFill>
                <a:srgbClr val="b3b3b3"/>
              </a:solidFill>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Number of Mentions</a:t>
                </a:r>
              </a:p>
            </c:rich>
          </c:tx>
          <c:overlay val="0"/>
          <c:spPr>
            <a:noFill/>
            <a:ln w="0">
              <a:noFill/>
            </a:ln>
          </c:spPr>
        </c:title>
        <c:numFmt formatCode="General" sourceLinked="0"/>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4052208"/>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5.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Current Tools Used (Mentions)</a:t>
            </a:r>
          </a:p>
        </c:rich>
      </c:tx>
      <c:overlay val="0"/>
      <c:spPr>
        <a:noFill/>
        <a:ln w="0">
          <a:noFill/>
        </a:ln>
      </c:spPr>
    </c:title>
    <c:autoTitleDeleted val="0"/>
    <c:plotArea>
      <c:barChart>
        <c:barDir val="col"/>
        <c:grouping val="clustered"/>
        <c:varyColors val="0"/>
        <c:ser>
          <c:idx val="0"/>
          <c:order val="0"/>
          <c:spPr>
            <a:solidFill>
              <a:srgbClr val="4f81bd"/>
            </a:solidFill>
            <a:ln w="0">
              <a:solidFill>
                <a:srgbClr val="000000"/>
              </a:solidFill>
            </a:ln>
          </c:spPr>
          <c:invertIfNegative val="0"/>
          <c:dLbls>
            <c:txPr>
              <a:bodyPr wrap="square"/>
              <a:lstStyle/>
              <a:p>
                <a:pPr>
                  <a:defRPr b="0" sz="1000" spc="-1" strike="noStrike">
                    <a:solidFill>
                      <a:srgbClr val="000000"/>
                    </a:solidFill>
                    <a:latin typeface="Arial"/>
                  </a:defRPr>
                </a:pPr>
              </a:p>
            </c:txPr>
            <c:dLblPos val="outEnd"/>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'Quantitative Analysis'!$A$52:$A$62</c:f>
              <c:strCache>
                <c:ptCount val="11"/>
                <c:pt idx="0">
                  <c:v>Whatsapp</c:v>
                </c:pt>
                <c:pt idx="1">
                  <c:v>Google Calendar</c:v>
                </c:pt>
                <c:pt idx="2">
                  <c:v>Google Calender</c:v>
                </c:pt>
                <c:pt idx="3">
                  <c:v>College LMS/portal</c:v>
                </c:pt>
                <c:pt idx="4">
                  <c:v>Dairy/notebook</c:v>
                </c:pt>
                <c:pt idx="5">
                  <c:v>To-do app</c:v>
                </c:pt>
                <c:pt idx="6">
                  <c:v>Excel/Google Sheets</c:v>
                </c:pt>
                <c:pt idx="7">
                  <c:v>Phone alarms/reminders</c:v>
                </c:pt>
                <c:pt idx="8">
                  <c:v>Notion</c:v>
                </c:pt>
                <c:pt idx="9">
                  <c:v>I don't use any specific system</c:v>
                </c:pt>
                <c:pt idx="10">
                  <c:v>Other</c:v>
                </c:pt>
              </c:strCache>
            </c:strRef>
          </c:cat>
          <c:val>
            <c:numRef>
              <c:f>'Quantitative Analysis'!$B$52:$B$62</c:f>
              <c:numCache>
                <c:formatCode>General</c:formatCode>
                <c:ptCount val="11"/>
                <c:pt idx="0">
                  <c:v>15</c:v>
                </c:pt>
                <c:pt idx="1">
                  <c:v>5</c:v>
                </c:pt>
                <c:pt idx="2">
                  <c:v>7</c:v>
                </c:pt>
                <c:pt idx="3">
                  <c:v>7</c:v>
                </c:pt>
                <c:pt idx="4">
                  <c:v>6</c:v>
                </c:pt>
                <c:pt idx="5">
                  <c:v>6</c:v>
                </c:pt>
                <c:pt idx="6">
                  <c:v>3</c:v>
                </c:pt>
                <c:pt idx="7">
                  <c:v>10</c:v>
                </c:pt>
                <c:pt idx="8">
                  <c:v>3</c:v>
                </c:pt>
                <c:pt idx="9">
                  <c:v>3</c:v>
                </c:pt>
                <c:pt idx="10">
                  <c:v>2</c:v>
                </c:pt>
              </c:numCache>
            </c:numRef>
          </c:val>
        </c:ser>
        <c:gapWidth val="150"/>
        <c:overlap val="0"/>
        <c:axId val="97224380"/>
        <c:axId val="68064292"/>
      </c:barChart>
      <c:catAx>
        <c:axId val="97224380"/>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Tool</a:t>
                </a:r>
              </a:p>
            </c:rich>
          </c:tx>
          <c:overlay val="0"/>
          <c:spPr>
            <a:noFill/>
            <a:ln w="0">
              <a:noFill/>
            </a:ln>
          </c:spPr>
        </c:title>
        <c:numFmt formatCode="General" sourceLinked="0"/>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68064292"/>
        <c:crosses val="autoZero"/>
        <c:auto val="1"/>
        <c:lblAlgn val="ctr"/>
        <c:lblOffset val="100"/>
        <c:noMultiLvlLbl val="0"/>
      </c:catAx>
      <c:valAx>
        <c:axId val="68064292"/>
        <c:scaling>
          <c:orientation val="minMax"/>
        </c:scaling>
        <c:delete val="0"/>
        <c:axPos val="l"/>
        <c:majorGridlines>
          <c:spPr>
            <a:ln w="0">
              <a:solidFill>
                <a:srgbClr val="b3b3b3"/>
              </a:solidFill>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Number of Mentions</a:t>
                </a:r>
              </a:p>
            </c:rich>
          </c:tx>
          <c:overlay val="0"/>
          <c:spPr>
            <a:noFill/>
            <a:ln w="0">
              <a:noFill/>
            </a:ln>
          </c:spPr>
        </c:title>
        <c:numFmt formatCode="General" sourceLinked="0"/>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97224380"/>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 Id="rId5" Type="http://schemas.openxmlformats.org/officeDocument/2006/relationships/chart" Target="../charts/chart5.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2</xdr:row>
      <xdr:rowOff>0</xdr:rowOff>
    </xdr:from>
    <xdr:to>
      <xdr:col>7</xdr:col>
      <xdr:colOff>1476720</xdr:colOff>
      <xdr:row>17</xdr:row>
      <xdr:rowOff>19440</xdr:rowOff>
    </xdr:to>
    <xdr:graphicFrame>
      <xdr:nvGraphicFramePr>
        <xdr:cNvPr id="0" name="Chart 1"/>
        <xdr:cNvGraphicFramePr/>
      </xdr:nvGraphicFramePr>
      <xdr:xfrm>
        <a:off x="0" y="466560"/>
        <a:ext cx="5757120" cy="287712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19</xdr:row>
      <xdr:rowOff>0</xdr:rowOff>
    </xdr:from>
    <xdr:to>
      <xdr:col>7</xdr:col>
      <xdr:colOff>1476720</xdr:colOff>
      <xdr:row>34</xdr:row>
      <xdr:rowOff>19440</xdr:rowOff>
    </xdr:to>
    <xdr:graphicFrame>
      <xdr:nvGraphicFramePr>
        <xdr:cNvPr id="1" name="Chart 2"/>
        <xdr:cNvGraphicFramePr/>
      </xdr:nvGraphicFramePr>
      <xdr:xfrm>
        <a:off x="0" y="3705120"/>
        <a:ext cx="5757120" cy="287712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0</xdr:colOff>
      <xdr:row>36</xdr:row>
      <xdr:rowOff>0</xdr:rowOff>
    </xdr:from>
    <xdr:to>
      <xdr:col>7</xdr:col>
      <xdr:colOff>1476720</xdr:colOff>
      <xdr:row>51</xdr:row>
      <xdr:rowOff>19440</xdr:rowOff>
    </xdr:to>
    <xdr:graphicFrame>
      <xdr:nvGraphicFramePr>
        <xdr:cNvPr id="2" name="Chart 3"/>
        <xdr:cNvGraphicFramePr/>
      </xdr:nvGraphicFramePr>
      <xdr:xfrm>
        <a:off x="0" y="6943680"/>
        <a:ext cx="5757120" cy="287712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53</xdr:row>
      <xdr:rowOff>0</xdr:rowOff>
    </xdr:from>
    <xdr:to>
      <xdr:col>7</xdr:col>
      <xdr:colOff>1476720</xdr:colOff>
      <xdr:row>68</xdr:row>
      <xdr:rowOff>19800</xdr:rowOff>
    </xdr:to>
    <xdr:graphicFrame>
      <xdr:nvGraphicFramePr>
        <xdr:cNvPr id="3" name="Chart 4"/>
        <xdr:cNvGraphicFramePr/>
      </xdr:nvGraphicFramePr>
      <xdr:xfrm>
        <a:off x="0" y="10182240"/>
        <a:ext cx="5757120" cy="287712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0</xdr:colOff>
      <xdr:row>70</xdr:row>
      <xdr:rowOff>0</xdr:rowOff>
    </xdr:from>
    <xdr:to>
      <xdr:col>7</xdr:col>
      <xdr:colOff>1476720</xdr:colOff>
      <xdr:row>85</xdr:row>
      <xdr:rowOff>19800</xdr:rowOff>
    </xdr:to>
    <xdr:graphicFrame>
      <xdr:nvGraphicFramePr>
        <xdr:cNvPr id="4" name="Chart 5"/>
        <xdr:cNvGraphicFramePr/>
      </xdr:nvGraphicFramePr>
      <xdr:xfrm>
        <a:off x="0" y="13420800"/>
        <a:ext cx="5757120" cy="287712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08080"/>
    <pageSetUpPr fitToPage="false"/>
  </sheetPr>
  <dimension ref="A1:K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B1" activeCellId="0" sqref="B1"/>
    </sheetView>
  </sheetViews>
  <sheetFormatPr defaultColWidth="8.6796875" defaultRowHeight="15" zeroHeight="false" outlineLevelRow="0" outlineLevelCol="0"/>
  <cols>
    <col collapsed="false" customWidth="true" hidden="false" outlineLevel="0" max="1" min="1" style="1" width="18"/>
    <col collapsed="false" customWidth="true" hidden="false" outlineLevel="0" max="2" min="2" style="1" width="12.81"/>
    <col collapsed="false" customWidth="true" hidden="false" outlineLevel="0" max="3" min="3" style="1" width="22"/>
    <col collapsed="false" customWidth="true" hidden="false" outlineLevel="0" max="4" min="4" style="1" width="27.03"/>
    <col collapsed="false" customWidth="true" hidden="false" outlineLevel="0" max="5" min="5" style="1" width="32"/>
    <col collapsed="false" customWidth="true" hidden="false" outlineLevel="0" max="6" min="6" style="1" width="28.73"/>
    <col collapsed="false" customWidth="true" hidden="false" outlineLevel="0" max="8" min="7" style="1" width="30"/>
    <col collapsed="false" customWidth="true" hidden="false" outlineLevel="0" max="9" min="9" style="1" width="34"/>
    <col collapsed="false" customWidth="true" hidden="false" outlineLevel="0" max="10" min="10" style="1" width="30"/>
    <col collapsed="false" customWidth="true" hidden="false" outlineLevel="0" max="11" min="11" style="1" width="38.85"/>
  </cols>
  <sheetData>
    <row r="1" customFormat="false" ht="33.75" hidden="false" customHeight="true" outlineLevel="0" collapsed="false">
      <c r="A1" s="2" t="s">
        <v>0</v>
      </c>
      <c r="B1" s="2" t="s">
        <v>1</v>
      </c>
      <c r="C1" s="2" t="s">
        <v>2</v>
      </c>
      <c r="D1" s="2" t="s">
        <v>3</v>
      </c>
      <c r="E1" s="2" t="s">
        <v>4</v>
      </c>
      <c r="F1" s="2" t="s">
        <v>5</v>
      </c>
      <c r="G1" s="2" t="s">
        <v>6</v>
      </c>
      <c r="H1" s="2" t="s">
        <v>7</v>
      </c>
      <c r="I1" s="2" t="s">
        <v>8</v>
      </c>
      <c r="J1" s="2" t="s">
        <v>9</v>
      </c>
      <c r="K1" s="2" t="s">
        <v>10</v>
      </c>
    </row>
    <row r="2" customFormat="false" ht="45" hidden="false" customHeight="true" outlineLevel="0" collapsed="false">
      <c r="A2" s="3" t="s">
        <v>11</v>
      </c>
      <c r="B2" s="3" t="s">
        <v>12</v>
      </c>
      <c r="C2" s="3" t="s">
        <v>13</v>
      </c>
      <c r="D2" s="3" t="s">
        <v>14</v>
      </c>
      <c r="E2" s="3" t="s">
        <v>15</v>
      </c>
      <c r="F2" s="3" t="s">
        <v>16</v>
      </c>
      <c r="G2" s="3" t="s">
        <v>17</v>
      </c>
      <c r="H2" s="3" t="s">
        <v>18</v>
      </c>
      <c r="I2" s="3" t="s">
        <v>19</v>
      </c>
      <c r="J2" s="3" t="s">
        <v>20</v>
      </c>
      <c r="K2" s="3" t="s">
        <v>21</v>
      </c>
    </row>
    <row r="3" customFormat="false" ht="45" hidden="false" customHeight="true" outlineLevel="0" collapsed="false">
      <c r="A3" s="3" t="s">
        <v>22</v>
      </c>
      <c r="B3" s="3" t="s">
        <v>12</v>
      </c>
      <c r="C3" s="3" t="s">
        <v>23</v>
      </c>
      <c r="D3" s="3" t="s">
        <v>24</v>
      </c>
      <c r="E3" s="3" t="s">
        <v>25</v>
      </c>
      <c r="F3" s="3" t="s">
        <v>26</v>
      </c>
      <c r="G3" s="3" t="s">
        <v>27</v>
      </c>
      <c r="H3" s="3" t="s">
        <v>28</v>
      </c>
      <c r="I3" s="3" t="s">
        <v>29</v>
      </c>
      <c r="J3" s="3" t="s">
        <v>30</v>
      </c>
      <c r="K3" s="3" t="s">
        <v>31</v>
      </c>
    </row>
    <row r="4" customFormat="false" ht="45" hidden="false" customHeight="true" outlineLevel="0" collapsed="false">
      <c r="A4" s="3" t="s">
        <v>32</v>
      </c>
      <c r="B4" s="3" t="s">
        <v>12</v>
      </c>
      <c r="C4" s="3" t="s">
        <v>33</v>
      </c>
      <c r="D4" s="3" t="s">
        <v>24</v>
      </c>
      <c r="E4" s="3" t="s">
        <v>34</v>
      </c>
      <c r="F4" s="3" t="s">
        <v>35</v>
      </c>
      <c r="G4" s="3" t="s">
        <v>36</v>
      </c>
      <c r="H4" s="3" t="s">
        <v>37</v>
      </c>
      <c r="I4" s="3" t="s">
        <v>38</v>
      </c>
      <c r="J4" s="3" t="s">
        <v>39</v>
      </c>
      <c r="K4" s="3" t="s">
        <v>40</v>
      </c>
    </row>
    <row r="5" customFormat="false" ht="45" hidden="false" customHeight="true" outlineLevel="0" collapsed="false">
      <c r="A5" s="3" t="s">
        <v>41</v>
      </c>
      <c r="B5" s="3" t="s">
        <v>42</v>
      </c>
      <c r="C5" s="3" t="s">
        <v>43</v>
      </c>
      <c r="D5" s="3" t="s">
        <v>24</v>
      </c>
      <c r="E5" s="3" t="s">
        <v>44</v>
      </c>
      <c r="F5" s="3" t="s">
        <v>26</v>
      </c>
      <c r="G5" s="3" t="s">
        <v>45</v>
      </c>
      <c r="H5" s="3" t="s">
        <v>46</v>
      </c>
      <c r="I5" s="3" t="s">
        <v>47</v>
      </c>
      <c r="J5" s="3" t="s">
        <v>48</v>
      </c>
      <c r="K5" s="3" t="s">
        <v>49</v>
      </c>
    </row>
    <row r="6" customFormat="false" ht="45" hidden="false" customHeight="true" outlineLevel="0" collapsed="false">
      <c r="A6" s="3" t="s">
        <v>50</v>
      </c>
      <c r="B6" s="3" t="s">
        <v>12</v>
      </c>
      <c r="C6" s="3" t="s">
        <v>51</v>
      </c>
      <c r="D6" s="3" t="s">
        <v>14</v>
      </c>
      <c r="E6" s="3" t="s">
        <v>52</v>
      </c>
      <c r="F6" s="3" t="s">
        <v>35</v>
      </c>
      <c r="G6" s="3" t="s">
        <v>53</v>
      </c>
      <c r="H6" s="3" t="s">
        <v>54</v>
      </c>
      <c r="I6" s="3" t="s">
        <v>55</v>
      </c>
      <c r="J6" s="3" t="s">
        <v>56</v>
      </c>
      <c r="K6" s="3" t="s">
        <v>57</v>
      </c>
    </row>
    <row r="7" customFormat="false" ht="45" hidden="false" customHeight="true" outlineLevel="0" collapsed="false">
      <c r="A7" s="3" t="s">
        <v>58</v>
      </c>
      <c r="B7" s="3" t="s">
        <v>12</v>
      </c>
      <c r="C7" s="3" t="s">
        <v>59</v>
      </c>
      <c r="D7" s="3" t="s">
        <v>60</v>
      </c>
      <c r="E7" s="3" t="s">
        <v>61</v>
      </c>
      <c r="F7" s="3" t="s">
        <v>35</v>
      </c>
      <c r="G7" s="3" t="s">
        <v>62</v>
      </c>
      <c r="H7" s="3" t="s">
        <v>63</v>
      </c>
      <c r="I7" s="3" t="s">
        <v>64</v>
      </c>
      <c r="J7" s="3" t="s">
        <v>65</v>
      </c>
      <c r="K7" s="3" t="s">
        <v>66</v>
      </c>
    </row>
    <row r="8" customFormat="false" ht="45" hidden="false" customHeight="true" outlineLevel="0" collapsed="false">
      <c r="A8" s="3" t="s">
        <v>67</v>
      </c>
      <c r="B8" s="3" t="s">
        <v>12</v>
      </c>
      <c r="C8" s="3" t="s">
        <v>68</v>
      </c>
      <c r="D8" s="3" t="s">
        <v>60</v>
      </c>
      <c r="E8" s="3" t="s">
        <v>69</v>
      </c>
      <c r="F8" s="3" t="s">
        <v>35</v>
      </c>
      <c r="G8" s="3" t="s">
        <v>70</v>
      </c>
      <c r="H8" s="3" t="s">
        <v>71</v>
      </c>
      <c r="I8" s="3" t="s">
        <v>72</v>
      </c>
      <c r="J8" s="3" t="s">
        <v>73</v>
      </c>
      <c r="K8" s="3" t="s">
        <v>74</v>
      </c>
    </row>
    <row r="9" customFormat="false" ht="45" hidden="false" customHeight="true" outlineLevel="0" collapsed="false">
      <c r="A9" s="3" t="s">
        <v>75</v>
      </c>
      <c r="B9" s="3" t="s">
        <v>76</v>
      </c>
      <c r="C9" s="3" t="s">
        <v>77</v>
      </c>
      <c r="D9" s="3" t="s">
        <v>24</v>
      </c>
      <c r="E9" s="3" t="s">
        <v>78</v>
      </c>
      <c r="F9" s="3" t="s">
        <v>26</v>
      </c>
      <c r="G9" s="3" t="s">
        <v>45</v>
      </c>
      <c r="H9" s="3" t="s">
        <v>79</v>
      </c>
      <c r="I9" s="3" t="s">
        <v>80</v>
      </c>
      <c r="J9" s="3" t="s">
        <v>81</v>
      </c>
      <c r="K9" s="3" t="s">
        <v>82</v>
      </c>
    </row>
    <row r="10" customFormat="false" ht="45" hidden="false" customHeight="true" outlineLevel="0" collapsed="false">
      <c r="A10" s="3" t="s">
        <v>83</v>
      </c>
      <c r="B10" s="3" t="s">
        <v>12</v>
      </c>
      <c r="C10" s="3" t="s">
        <v>84</v>
      </c>
      <c r="D10" s="3" t="s">
        <v>85</v>
      </c>
      <c r="E10" s="3" t="s">
        <v>86</v>
      </c>
      <c r="F10" s="3" t="s">
        <v>35</v>
      </c>
      <c r="G10" s="3" t="s">
        <v>87</v>
      </c>
      <c r="H10" s="3" t="s">
        <v>88</v>
      </c>
      <c r="I10" s="3" t="s">
        <v>89</v>
      </c>
      <c r="J10" s="3" t="s">
        <v>90</v>
      </c>
      <c r="K10" s="3" t="s">
        <v>91</v>
      </c>
    </row>
    <row r="11" customFormat="false" ht="45" hidden="false" customHeight="true" outlineLevel="0" collapsed="false">
      <c r="A11" s="3" t="s">
        <v>92</v>
      </c>
      <c r="B11" s="3" t="s">
        <v>12</v>
      </c>
      <c r="C11" s="3" t="s">
        <v>59</v>
      </c>
      <c r="D11" s="3" t="s">
        <v>24</v>
      </c>
      <c r="E11" s="3" t="s">
        <v>93</v>
      </c>
      <c r="F11" s="3" t="s">
        <v>94</v>
      </c>
      <c r="G11" s="3" t="s">
        <v>95</v>
      </c>
      <c r="H11" s="3" t="s">
        <v>96</v>
      </c>
      <c r="I11" s="3" t="s">
        <v>97</v>
      </c>
      <c r="J11" s="3" t="s">
        <v>98</v>
      </c>
      <c r="K11" s="3" t="s">
        <v>99</v>
      </c>
    </row>
    <row r="12" customFormat="false" ht="45" hidden="false" customHeight="true" outlineLevel="0" collapsed="false">
      <c r="A12" s="3" t="s">
        <v>100</v>
      </c>
      <c r="B12" s="3" t="s">
        <v>12</v>
      </c>
      <c r="C12" s="3" t="s">
        <v>101</v>
      </c>
      <c r="D12" s="3" t="s">
        <v>24</v>
      </c>
      <c r="E12" s="3" t="s">
        <v>102</v>
      </c>
      <c r="F12" s="3" t="s">
        <v>26</v>
      </c>
      <c r="G12" s="3" t="s">
        <v>103</v>
      </c>
      <c r="H12" s="3"/>
      <c r="I12" s="3"/>
      <c r="J12" s="3" t="s">
        <v>104</v>
      </c>
      <c r="K12" s="3" t="s">
        <v>105</v>
      </c>
    </row>
    <row r="13" customFormat="false" ht="45" hidden="false" customHeight="true" outlineLevel="0" collapsed="false">
      <c r="A13" s="3" t="s">
        <v>106</v>
      </c>
      <c r="B13" s="3" t="s">
        <v>12</v>
      </c>
      <c r="C13" s="3" t="s">
        <v>107</v>
      </c>
      <c r="D13" s="3" t="s">
        <v>14</v>
      </c>
      <c r="E13" s="3" t="s">
        <v>102</v>
      </c>
      <c r="F13" s="3" t="s">
        <v>108</v>
      </c>
      <c r="G13" s="3" t="s">
        <v>109</v>
      </c>
      <c r="H13" s="3"/>
      <c r="I13" s="3"/>
      <c r="J13" s="3"/>
      <c r="K13" s="3"/>
    </row>
    <row r="14" customFormat="false" ht="45" hidden="false" customHeight="true" outlineLevel="0" collapsed="false">
      <c r="A14" s="3" t="s">
        <v>110</v>
      </c>
      <c r="B14" s="3" t="s">
        <v>12</v>
      </c>
      <c r="C14" s="3" t="s">
        <v>84</v>
      </c>
      <c r="D14" s="3" t="s">
        <v>24</v>
      </c>
      <c r="E14" s="3" t="s">
        <v>111</v>
      </c>
      <c r="F14" s="3" t="s">
        <v>35</v>
      </c>
      <c r="G14" s="3" t="s">
        <v>53</v>
      </c>
      <c r="H14" s="3" t="s">
        <v>112</v>
      </c>
      <c r="I14" s="3" t="s">
        <v>113</v>
      </c>
      <c r="J14" s="3" t="s">
        <v>114</v>
      </c>
      <c r="K14" s="3"/>
    </row>
    <row r="15" customFormat="false" ht="45" hidden="false" customHeight="true" outlineLevel="0" collapsed="false">
      <c r="A15" s="3" t="s">
        <v>115</v>
      </c>
      <c r="B15" s="3" t="s">
        <v>76</v>
      </c>
      <c r="C15" s="3" t="s">
        <v>116</v>
      </c>
      <c r="D15" s="3" t="s">
        <v>24</v>
      </c>
      <c r="E15" s="3" t="s">
        <v>117</v>
      </c>
      <c r="F15" s="3" t="s">
        <v>26</v>
      </c>
      <c r="G15" s="3" t="s">
        <v>118</v>
      </c>
      <c r="H15" s="3" t="s">
        <v>119</v>
      </c>
      <c r="I15" s="3" t="s">
        <v>120</v>
      </c>
      <c r="J15" s="3" t="s">
        <v>121</v>
      </c>
      <c r="K15" s="3" t="s">
        <v>122</v>
      </c>
    </row>
    <row r="16" customFormat="false" ht="45" hidden="false" customHeight="true" outlineLevel="0" collapsed="false">
      <c r="A16" s="3" t="s">
        <v>123</v>
      </c>
      <c r="B16" s="3" t="s">
        <v>12</v>
      </c>
      <c r="C16" s="3" t="s">
        <v>124</v>
      </c>
      <c r="D16" s="3" t="s">
        <v>85</v>
      </c>
      <c r="E16" s="3" t="s">
        <v>125</v>
      </c>
      <c r="F16" s="3" t="s">
        <v>26</v>
      </c>
      <c r="G16" s="3" t="s">
        <v>126</v>
      </c>
      <c r="H16" s="3" t="s">
        <v>127</v>
      </c>
      <c r="I16" s="3" t="s">
        <v>128</v>
      </c>
      <c r="J16" s="3" t="s">
        <v>129</v>
      </c>
      <c r="K16" s="3" t="s">
        <v>130</v>
      </c>
    </row>
    <row r="17" customFormat="false" ht="45" hidden="false" customHeight="true" outlineLevel="0" collapsed="false">
      <c r="A17" s="3" t="s">
        <v>131</v>
      </c>
      <c r="B17" s="3" t="s">
        <v>12</v>
      </c>
      <c r="C17" s="3" t="s">
        <v>59</v>
      </c>
      <c r="D17" s="3" t="s">
        <v>24</v>
      </c>
      <c r="E17" s="3" t="s">
        <v>132</v>
      </c>
      <c r="F17" s="3" t="s">
        <v>35</v>
      </c>
      <c r="G17" s="3" t="s">
        <v>133</v>
      </c>
      <c r="H17" s="3" t="s">
        <v>134</v>
      </c>
      <c r="I17" s="3" t="s">
        <v>135</v>
      </c>
      <c r="J17" s="3" t="s">
        <v>136</v>
      </c>
      <c r="K17" s="3" t="s">
        <v>137</v>
      </c>
    </row>
    <row r="18" customFormat="false" ht="45" hidden="false" customHeight="true" outlineLevel="0" collapsed="false">
      <c r="A18" s="3" t="s">
        <v>138</v>
      </c>
      <c r="B18" s="3" t="s">
        <v>76</v>
      </c>
      <c r="C18" s="3" t="s">
        <v>139</v>
      </c>
      <c r="D18" s="3" t="s">
        <v>24</v>
      </c>
      <c r="E18" s="3" t="s">
        <v>140</v>
      </c>
      <c r="F18" s="3" t="s">
        <v>35</v>
      </c>
      <c r="G18" s="3" t="s">
        <v>45</v>
      </c>
      <c r="H18" s="3" t="s">
        <v>141</v>
      </c>
      <c r="I18" s="3" t="s">
        <v>142</v>
      </c>
      <c r="J18" s="3" t="s">
        <v>143</v>
      </c>
      <c r="K18" s="3" t="s">
        <v>144</v>
      </c>
    </row>
    <row r="19" customFormat="false" ht="45" hidden="false" customHeight="true" outlineLevel="0" collapsed="false">
      <c r="A19" s="3" t="s">
        <v>145</v>
      </c>
      <c r="B19" s="3" t="s">
        <v>76</v>
      </c>
      <c r="C19" s="3" t="s">
        <v>146</v>
      </c>
      <c r="D19" s="3" t="s">
        <v>14</v>
      </c>
      <c r="E19" s="3" t="s">
        <v>147</v>
      </c>
      <c r="F19" s="3" t="s">
        <v>35</v>
      </c>
      <c r="G19" s="3" t="s">
        <v>148</v>
      </c>
      <c r="H19" s="3" t="s">
        <v>149</v>
      </c>
      <c r="I19" s="3" t="s">
        <v>150</v>
      </c>
      <c r="J19" s="3" t="s">
        <v>151</v>
      </c>
      <c r="K19" s="3" t="s">
        <v>152</v>
      </c>
    </row>
    <row r="20" customFormat="false" ht="45" hidden="false" customHeight="true" outlineLevel="0" collapsed="false">
      <c r="A20" s="3" t="s">
        <v>153</v>
      </c>
      <c r="B20" s="3" t="s">
        <v>12</v>
      </c>
      <c r="C20" s="3" t="s">
        <v>154</v>
      </c>
      <c r="D20" s="3" t="s">
        <v>14</v>
      </c>
      <c r="E20" s="3" t="s">
        <v>155</v>
      </c>
      <c r="F20" s="3" t="s">
        <v>35</v>
      </c>
      <c r="G20" s="3" t="s">
        <v>156</v>
      </c>
      <c r="H20" s="3" t="s">
        <v>157</v>
      </c>
      <c r="I20" s="3" t="s">
        <v>158</v>
      </c>
      <c r="J20" s="3" t="s">
        <v>159</v>
      </c>
      <c r="K20" s="3" t="s">
        <v>160</v>
      </c>
    </row>
    <row r="21" customFormat="false" ht="45" hidden="false" customHeight="true" outlineLevel="0" collapsed="false">
      <c r="A21" s="3" t="s">
        <v>161</v>
      </c>
      <c r="B21" s="3" t="s">
        <v>12</v>
      </c>
      <c r="C21" s="3" t="s">
        <v>162</v>
      </c>
      <c r="D21" s="3" t="s">
        <v>14</v>
      </c>
      <c r="E21" s="3" t="s">
        <v>163</v>
      </c>
      <c r="F21" s="3" t="s">
        <v>26</v>
      </c>
      <c r="G21" s="3" t="s">
        <v>109</v>
      </c>
      <c r="H21" s="3" t="s">
        <v>164</v>
      </c>
      <c r="I21" s="3" t="s">
        <v>165</v>
      </c>
      <c r="J21" s="3" t="s">
        <v>166</v>
      </c>
      <c r="K21" s="3" t="s">
        <v>167</v>
      </c>
    </row>
    <row r="22" customFormat="false" ht="45" hidden="false" customHeight="true" outlineLevel="0" collapsed="false">
      <c r="A22" s="3" t="s">
        <v>168</v>
      </c>
      <c r="B22" s="3" t="s">
        <v>169</v>
      </c>
      <c r="C22" s="3" t="s">
        <v>170</v>
      </c>
      <c r="D22" s="3" t="s">
        <v>24</v>
      </c>
      <c r="E22" s="3" t="s">
        <v>171</v>
      </c>
      <c r="F22" s="3" t="s">
        <v>26</v>
      </c>
      <c r="G22" s="3" t="s">
        <v>172</v>
      </c>
      <c r="H22" s="3" t="s">
        <v>173</v>
      </c>
      <c r="I22" s="3" t="s">
        <v>174</v>
      </c>
      <c r="J22" s="3" t="s">
        <v>175</v>
      </c>
      <c r="K22" s="3" t="s">
        <v>176</v>
      </c>
    </row>
    <row r="23" customFormat="false" ht="45" hidden="false" customHeight="true" outlineLevel="0" collapsed="false">
      <c r="A23" s="3" t="s">
        <v>177</v>
      </c>
      <c r="B23" s="3" t="s">
        <v>12</v>
      </c>
      <c r="C23" s="3" t="s">
        <v>59</v>
      </c>
      <c r="D23" s="3" t="s">
        <v>85</v>
      </c>
      <c r="E23" s="3" t="s">
        <v>178</v>
      </c>
      <c r="F23" s="3" t="s">
        <v>26</v>
      </c>
      <c r="G23" s="3" t="s">
        <v>179</v>
      </c>
      <c r="H23" s="3" t="s">
        <v>180</v>
      </c>
      <c r="I23" s="3" t="s">
        <v>181</v>
      </c>
      <c r="J23" s="3" t="s">
        <v>182</v>
      </c>
      <c r="K23" s="3" t="s">
        <v>183</v>
      </c>
    </row>
    <row r="24" customFormat="false" ht="45" hidden="false" customHeight="true" outlineLevel="0" collapsed="false">
      <c r="A24" s="3" t="s">
        <v>184</v>
      </c>
      <c r="B24" s="3" t="s">
        <v>42</v>
      </c>
      <c r="C24" s="3" t="s">
        <v>185</v>
      </c>
      <c r="D24" s="3" t="s">
        <v>60</v>
      </c>
      <c r="E24" s="3" t="s">
        <v>186</v>
      </c>
      <c r="F24" s="3" t="s">
        <v>26</v>
      </c>
      <c r="G24" s="3" t="s">
        <v>133</v>
      </c>
      <c r="H24" s="3" t="s">
        <v>187</v>
      </c>
      <c r="I24" s="3" t="s">
        <v>188</v>
      </c>
      <c r="J24" s="3" t="s">
        <v>189</v>
      </c>
      <c r="K24" s="3" t="s">
        <v>190</v>
      </c>
    </row>
    <row r="25" customFormat="false" ht="45" hidden="false" customHeight="true" outlineLevel="0" collapsed="false">
      <c r="A25" s="3" t="s">
        <v>191</v>
      </c>
      <c r="B25" s="3" t="s">
        <v>169</v>
      </c>
      <c r="C25" s="3" t="s">
        <v>192</v>
      </c>
      <c r="D25" s="3" t="s">
        <v>60</v>
      </c>
      <c r="E25" s="3" t="s">
        <v>52</v>
      </c>
      <c r="F25" s="3" t="s">
        <v>16</v>
      </c>
      <c r="G25" s="3" t="s">
        <v>87</v>
      </c>
      <c r="H25" s="3" t="s">
        <v>193</v>
      </c>
      <c r="I25" s="3" t="s">
        <v>193</v>
      </c>
      <c r="J25" s="3" t="s">
        <v>193</v>
      </c>
      <c r="K25" s="3" t="s">
        <v>193</v>
      </c>
    </row>
    <row r="26" customFormat="false" ht="45" hidden="false" customHeight="true" outlineLevel="0" collapsed="false">
      <c r="A26" s="3" t="s">
        <v>194</v>
      </c>
      <c r="B26" s="3" t="s">
        <v>12</v>
      </c>
      <c r="C26" s="3" t="s">
        <v>68</v>
      </c>
      <c r="D26" s="3" t="s">
        <v>24</v>
      </c>
      <c r="E26" s="3" t="s">
        <v>61</v>
      </c>
      <c r="F26" s="3" t="s">
        <v>35</v>
      </c>
      <c r="G26" s="3" t="s">
        <v>195</v>
      </c>
      <c r="H26" s="3" t="s">
        <v>196</v>
      </c>
      <c r="I26" s="3" t="s">
        <v>197</v>
      </c>
      <c r="J26" s="3" t="s">
        <v>198</v>
      </c>
      <c r="K26" s="3" t="s">
        <v>199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F5496"/>
    <pageSetUpPr fitToPage="false"/>
  </sheetPr>
  <dimension ref="A1:G71"/>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4"/>
    <col collapsed="false" customWidth="true" hidden="false" outlineLevel="0" max="2" min="2" style="1" width="10"/>
    <col collapsed="false" customWidth="true" hidden="false" outlineLevel="0" max="3" min="3" style="1" width="12"/>
    <col collapsed="false" customWidth="true" hidden="false" outlineLevel="0" max="4" min="4" style="1" width="3"/>
    <col collapsed="false" customWidth="true" hidden="false" outlineLevel="0" max="5" min="5" style="1" width="34"/>
    <col collapsed="false" customWidth="true" hidden="false" outlineLevel="0" max="6" min="6" style="1" width="10"/>
    <col collapsed="false" customWidth="true" hidden="false" outlineLevel="0" max="7" min="7" style="1" width="12"/>
  </cols>
  <sheetData>
    <row r="1" customFormat="false" ht="21.75" hidden="false" customHeight="true" outlineLevel="0" collapsed="false">
      <c r="A1" s="4" t="s">
        <v>200</v>
      </c>
      <c r="B1" s="4"/>
      <c r="C1" s="4"/>
      <c r="D1" s="4"/>
      <c r="E1" s="4"/>
      <c r="F1" s="4"/>
      <c r="G1" s="4"/>
    </row>
    <row r="2" customFormat="false" ht="21.75" hidden="false" customHeight="true" outlineLevel="0" collapsed="false">
      <c r="A2" s="5" t="s">
        <v>201</v>
      </c>
      <c r="B2" s="5"/>
      <c r="C2" s="5"/>
      <c r="D2" s="5"/>
      <c r="E2" s="5"/>
      <c r="F2" s="5"/>
      <c r="G2" s="5"/>
    </row>
    <row r="4" customFormat="false" ht="15" hidden="false" customHeight="true" outlineLevel="0" collapsed="false">
      <c r="A4" s="6" t="s">
        <v>202</v>
      </c>
      <c r="B4" s="6"/>
      <c r="C4" s="6"/>
    </row>
    <row r="5" customFormat="false" ht="15" hidden="false" customHeight="true" outlineLevel="0" collapsed="false">
      <c r="A5" s="7" t="s">
        <v>203</v>
      </c>
      <c r="B5" s="7"/>
      <c r="C5" s="8" t="n">
        <f aca="false">COUNTA('Raw Responses'!$B$2:$B$26)</f>
        <v>25</v>
      </c>
    </row>
    <row r="7" customFormat="false" ht="23.25" hidden="false" customHeight="true" outlineLevel="0" collapsed="false">
      <c r="A7" s="9" t="s">
        <v>204</v>
      </c>
      <c r="B7" s="9" t="s">
        <v>205</v>
      </c>
      <c r="C7" s="9" t="s">
        <v>206</v>
      </c>
    </row>
    <row r="8" customFormat="false" ht="15" hidden="false" customHeight="true" outlineLevel="0" collapsed="false">
      <c r="A8" s="10" t="s">
        <v>76</v>
      </c>
      <c r="B8" s="11" t="n">
        <f aca="false">COUNTIF('Raw Responses'!$B$2:$B$26,A8)</f>
        <v>4</v>
      </c>
      <c r="C8" s="12" t="n">
        <f aca="false">B8/COUNTA('Raw Responses'!$B$2:$B$26)</f>
        <v>0.16</v>
      </c>
    </row>
    <row r="9" customFormat="false" ht="15" hidden="false" customHeight="true" outlineLevel="0" collapsed="false">
      <c r="A9" s="10" t="s">
        <v>169</v>
      </c>
      <c r="B9" s="11" t="n">
        <f aca="false">COUNTIF('Raw Responses'!$B$2:$B$26,A9)</f>
        <v>2</v>
      </c>
      <c r="C9" s="12" t="n">
        <f aca="false">B9/COUNTA('Raw Responses'!$B$2:$B$26)</f>
        <v>0.08</v>
      </c>
    </row>
    <row r="10" customFormat="false" ht="15" hidden="false" customHeight="true" outlineLevel="0" collapsed="false">
      <c r="A10" s="10" t="s">
        <v>42</v>
      </c>
      <c r="B10" s="11" t="n">
        <f aca="false">COUNTIF('Raw Responses'!$B$2:$B$26,A10)</f>
        <v>2</v>
      </c>
      <c r="C10" s="12" t="n">
        <f aca="false">B10/COUNTA('Raw Responses'!$B$2:$B$26)</f>
        <v>0.08</v>
      </c>
    </row>
    <row r="11" customFormat="false" ht="15" hidden="false" customHeight="true" outlineLevel="0" collapsed="false">
      <c r="A11" s="10" t="s">
        <v>12</v>
      </c>
      <c r="B11" s="11" t="n">
        <f aca="false">COUNTIF('Raw Responses'!$B$2:$B$26,A11)</f>
        <v>17</v>
      </c>
      <c r="C11" s="12" t="n">
        <f aca="false">B11/COUNTA('Raw Responses'!$B$2:$B$26)</f>
        <v>0.68</v>
      </c>
    </row>
    <row r="12" customFormat="false" ht="15" hidden="false" customHeight="true" outlineLevel="0" collapsed="false">
      <c r="A12" s="7" t="s">
        <v>207</v>
      </c>
      <c r="B12" s="13" t="n">
        <f aca="false">SUM(B8:B11)</f>
        <v>25</v>
      </c>
      <c r="C12" s="14" t="n">
        <f aca="false">SUM(C8:C11)</f>
        <v>1</v>
      </c>
    </row>
    <row r="14" customFormat="false" ht="15" hidden="false" customHeight="true" outlineLevel="0" collapsed="false">
      <c r="A14" s="6" t="s">
        <v>208</v>
      </c>
      <c r="B14" s="6"/>
      <c r="C14" s="6"/>
    </row>
    <row r="15" customFormat="false" ht="23.25" hidden="false" customHeight="true" outlineLevel="0" collapsed="false">
      <c r="A15" s="9" t="s">
        <v>209</v>
      </c>
      <c r="B15" s="9" t="s">
        <v>205</v>
      </c>
      <c r="C15" s="9" t="s">
        <v>206</v>
      </c>
    </row>
    <row r="16" customFormat="false" ht="15" hidden="false" customHeight="true" outlineLevel="0" collapsed="false">
      <c r="A16" s="10" t="s">
        <v>14</v>
      </c>
      <c r="B16" s="11" t="n">
        <f aca="false">COUNTIF('Raw Responses'!$D$2:$D$26,A16)</f>
        <v>6</v>
      </c>
      <c r="C16" s="12" t="n">
        <f aca="false">B16/COUNTA('Raw Responses'!$B$2:$B$26)</f>
        <v>0.24</v>
      </c>
    </row>
    <row r="17" customFormat="false" ht="15" hidden="false" customHeight="true" outlineLevel="0" collapsed="false">
      <c r="A17" s="10" t="s">
        <v>24</v>
      </c>
      <c r="B17" s="11" t="n">
        <f aca="false">COUNTIF('Raw Responses'!$D$2:$D$26,A17)</f>
        <v>12</v>
      </c>
      <c r="C17" s="12" t="n">
        <f aca="false">B17/COUNTA('Raw Responses'!$B$2:$B$26)</f>
        <v>0.48</v>
      </c>
    </row>
    <row r="18" customFormat="false" ht="15" hidden="false" customHeight="true" outlineLevel="0" collapsed="false">
      <c r="A18" s="10" t="s">
        <v>60</v>
      </c>
      <c r="B18" s="11" t="n">
        <f aca="false">COUNTIF('Raw Responses'!$D$2:$D$26,A18)</f>
        <v>4</v>
      </c>
      <c r="C18" s="12" t="n">
        <f aca="false">B18/COUNTA('Raw Responses'!$B$2:$B$26)</f>
        <v>0.16</v>
      </c>
    </row>
    <row r="19" customFormat="false" ht="15" hidden="false" customHeight="true" outlineLevel="0" collapsed="false">
      <c r="A19" s="10" t="s">
        <v>85</v>
      </c>
      <c r="B19" s="11" t="n">
        <f aca="false">COUNTIF('Raw Responses'!$D$2:$D$26,A19)</f>
        <v>3</v>
      </c>
      <c r="C19" s="12" t="n">
        <f aca="false">B19/COUNTA('Raw Responses'!$B$2:$B$26)</f>
        <v>0.12</v>
      </c>
    </row>
    <row r="20" customFormat="false" ht="15" hidden="false" customHeight="true" outlineLevel="0" collapsed="false">
      <c r="A20" s="7" t="s">
        <v>207</v>
      </c>
      <c r="B20" s="13" t="n">
        <f aca="false">SUM(B16:B19)</f>
        <v>25</v>
      </c>
      <c r="C20" s="14" t="n">
        <f aca="false">SUM(C16:C19)</f>
        <v>1</v>
      </c>
    </row>
    <row r="21" customFormat="false" ht="15" hidden="false" customHeight="true" outlineLevel="0" collapsed="false">
      <c r="A21" s="7" t="s">
        <v>210</v>
      </c>
      <c r="B21" s="7"/>
      <c r="C21" s="14" t="n">
        <f aca="false">1-(B16/COUNTA('Raw Responses'!$B$2:$B$26))</f>
        <v>0.76</v>
      </c>
    </row>
    <row r="22" customFormat="false" ht="15" hidden="false" customHeight="true" outlineLevel="0" collapsed="false">
      <c r="A22" s="5" t="s">
        <v>211</v>
      </c>
      <c r="B22" s="5"/>
      <c r="C22" s="5"/>
      <c r="D22" s="5"/>
      <c r="E22" s="5"/>
      <c r="F22" s="5"/>
      <c r="G22" s="5"/>
    </row>
    <row r="24" customFormat="false" ht="15" hidden="false" customHeight="true" outlineLevel="0" collapsed="false">
      <c r="A24" s="6" t="s">
        <v>212</v>
      </c>
      <c r="B24" s="6"/>
      <c r="C24" s="6"/>
    </row>
    <row r="25" customFormat="false" ht="23.25" hidden="false" customHeight="true" outlineLevel="0" collapsed="false">
      <c r="A25" s="9" t="s">
        <v>213</v>
      </c>
      <c r="B25" s="9" t="s">
        <v>205</v>
      </c>
      <c r="C25" s="9" t="s">
        <v>206</v>
      </c>
    </row>
    <row r="26" customFormat="false" ht="15" hidden="false" customHeight="true" outlineLevel="0" collapsed="false">
      <c r="A26" s="10" t="s">
        <v>108</v>
      </c>
      <c r="B26" s="11" t="n">
        <f aca="false">COUNTIF('Raw Responses'!$F$2:$F$26,A26)</f>
        <v>1</v>
      </c>
      <c r="C26" s="12" t="n">
        <f aca="false">B26/COUNTA('Raw Responses'!$B$2:$B$26)</f>
        <v>0.04</v>
      </c>
    </row>
    <row r="27" customFormat="false" ht="15" hidden="false" customHeight="true" outlineLevel="0" collapsed="false">
      <c r="A27" s="10" t="s">
        <v>26</v>
      </c>
      <c r="B27" s="11" t="n">
        <f aca="false">COUNTIF('Raw Responses'!$F$2:$F$26,A27)</f>
        <v>10</v>
      </c>
      <c r="C27" s="12" t="n">
        <f aca="false">B27/COUNTA('Raw Responses'!$B$2:$B$26)</f>
        <v>0.4</v>
      </c>
    </row>
    <row r="28" customFormat="false" ht="15" hidden="false" customHeight="true" outlineLevel="0" collapsed="false">
      <c r="A28" s="10" t="s">
        <v>35</v>
      </c>
      <c r="B28" s="11" t="n">
        <f aca="false">COUNTIF('Raw Responses'!$F$2:$F$26,A28)</f>
        <v>11</v>
      </c>
      <c r="C28" s="12" t="n">
        <f aca="false">B28/COUNTA('Raw Responses'!$B$2:$B$26)</f>
        <v>0.44</v>
      </c>
    </row>
    <row r="29" customFormat="false" ht="15" hidden="false" customHeight="true" outlineLevel="0" collapsed="false">
      <c r="A29" s="10" t="s">
        <v>94</v>
      </c>
      <c r="B29" s="11" t="n">
        <f aca="false">COUNTIF('Raw Responses'!$F$2:$F$26,A29)</f>
        <v>1</v>
      </c>
      <c r="C29" s="12" t="n">
        <f aca="false">B29/COUNTA('Raw Responses'!$B$2:$B$26)</f>
        <v>0.04</v>
      </c>
    </row>
    <row r="30" customFormat="false" ht="15" hidden="false" customHeight="true" outlineLevel="0" collapsed="false">
      <c r="A30" s="10" t="s">
        <v>16</v>
      </c>
      <c r="B30" s="11" t="n">
        <f aca="false">COUNTIF('Raw Responses'!$F$2:$F$26,A30)</f>
        <v>2</v>
      </c>
      <c r="C30" s="12" t="n">
        <f aca="false">B30/COUNTA('Raw Responses'!$B$2:$B$26)</f>
        <v>0.08</v>
      </c>
    </row>
    <row r="31" customFormat="false" ht="15" hidden="false" customHeight="true" outlineLevel="0" collapsed="false">
      <c r="A31" s="7" t="s">
        <v>207</v>
      </c>
      <c r="B31" s="13" t="n">
        <f aca="false">SUM(B26:B30)</f>
        <v>25</v>
      </c>
      <c r="C31" s="14" t="n">
        <f aca="false">SUM(C26:C30)</f>
        <v>1</v>
      </c>
    </row>
    <row r="32" customFormat="false" ht="15" hidden="false" customHeight="true" outlineLevel="0" collapsed="false">
      <c r="A32" s="7" t="s">
        <v>214</v>
      </c>
      <c r="B32" s="7"/>
      <c r="C32" s="14" t="n">
        <f aca="false">(COUNTIF('Raw Responses'!$F$2:$F$26,"Sometimes")+COUNTIF('Raw Responses'!$F$2:$F$26,"Often")+COUNTIF('Raw Responses'!$F$2:$F$26,"Very Often"))/COUNTA('Raw Responses'!$B$2:$B$26)</f>
        <v>0.56</v>
      </c>
    </row>
    <row r="34" customFormat="false" ht="15" hidden="false" customHeight="true" outlineLevel="0" collapsed="false">
      <c r="A34" s="6" t="s">
        <v>215</v>
      </c>
      <c r="B34" s="6"/>
      <c r="C34" s="6"/>
    </row>
    <row r="35" customFormat="false" ht="15" hidden="false" customHeight="true" outlineLevel="0" collapsed="false">
      <c r="A35" s="5" t="s">
        <v>216</v>
      </c>
      <c r="B35" s="5"/>
      <c r="C35" s="5"/>
      <c r="D35" s="5"/>
      <c r="E35" s="5"/>
      <c r="F35" s="5"/>
      <c r="G35" s="5"/>
    </row>
    <row r="36" customFormat="false" ht="34.5" hidden="false" customHeight="true" outlineLevel="0" collapsed="false">
      <c r="A36" s="9" t="s">
        <v>217</v>
      </c>
      <c r="B36" s="9" t="s">
        <v>218</v>
      </c>
      <c r="C36" s="9" t="s">
        <v>219</v>
      </c>
    </row>
    <row r="37" customFormat="false" ht="15" hidden="false" customHeight="true" outlineLevel="0" collapsed="false">
      <c r="A37" s="10" t="s">
        <v>45</v>
      </c>
      <c r="B37" s="11" t="n">
        <f aca="false">SUMPRODUCT(--ISNUMBER(SEARCH(A37,'Raw Responses'!$G$2:$G$26)))</f>
        <v>14</v>
      </c>
      <c r="C37" s="12" t="n">
        <f aca="false">B37/COUNTA('Raw Responses'!$B$2:$B$26)</f>
        <v>0.56</v>
      </c>
    </row>
    <row r="38" customFormat="false" ht="15" hidden="false" customHeight="true" outlineLevel="0" collapsed="false">
      <c r="A38" s="10" t="s">
        <v>70</v>
      </c>
      <c r="B38" s="11" t="n">
        <f aca="false">SUMPRODUCT(--ISNUMBER(SEARCH(A38,'Raw Responses'!$G$2:$G$26)))</f>
        <v>5</v>
      </c>
      <c r="C38" s="12" t="n">
        <f aca="false">B38/COUNTA('Raw Responses'!$B$2:$B$26)</f>
        <v>0.2</v>
      </c>
    </row>
    <row r="39" customFormat="false" ht="15" hidden="false" customHeight="true" outlineLevel="0" collapsed="false">
      <c r="A39" s="10" t="s">
        <v>109</v>
      </c>
      <c r="B39" s="11" t="n">
        <f aca="false">SUMPRODUCT(--ISNUMBER(SEARCH(A39,'Raw Responses'!$G$2:$G$26)))</f>
        <v>14</v>
      </c>
      <c r="C39" s="12" t="n">
        <f aca="false">B39/COUNTA('Raw Responses'!$B$2:$B$26)</f>
        <v>0.56</v>
      </c>
    </row>
    <row r="40" customFormat="false" ht="15" hidden="false" customHeight="true" outlineLevel="0" collapsed="false">
      <c r="A40" s="10" t="s">
        <v>220</v>
      </c>
      <c r="B40" s="11" t="n">
        <f aca="false">SUMPRODUCT(--ISNUMBER(SEARCH(A40,'Raw Responses'!$G$2:$G$26)))</f>
        <v>10</v>
      </c>
      <c r="C40" s="12" t="n">
        <f aca="false">B40/COUNTA('Raw Responses'!$B$2:$B$26)</f>
        <v>0.4</v>
      </c>
    </row>
    <row r="41" customFormat="false" ht="15" hidden="false" customHeight="true" outlineLevel="0" collapsed="false">
      <c r="A41" s="10" t="s">
        <v>221</v>
      </c>
      <c r="B41" s="11" t="n">
        <f aca="false">SUMPRODUCT(--ISNUMBER(SEARCH(A41,'Raw Responses'!$G$2:$G$26)))</f>
        <v>4</v>
      </c>
      <c r="C41" s="12" t="n">
        <f aca="false">B41/COUNTA('Raw Responses'!$B$2:$B$26)</f>
        <v>0.16</v>
      </c>
    </row>
    <row r="42" customFormat="false" ht="15" hidden="false" customHeight="true" outlineLevel="0" collapsed="false">
      <c r="A42" s="10" t="s">
        <v>222</v>
      </c>
      <c r="B42" s="11" t="n">
        <f aca="false">SUMPRODUCT(--ISNUMBER(SEARCH(A42,'Raw Responses'!$G$2:$G$26)))</f>
        <v>3</v>
      </c>
      <c r="C42" s="12" t="n">
        <f aca="false">B42/COUNTA('Raw Responses'!$B$2:$B$26)</f>
        <v>0.12</v>
      </c>
    </row>
    <row r="43" customFormat="false" ht="15" hidden="false" customHeight="true" outlineLevel="0" collapsed="false">
      <c r="A43" s="10" t="s">
        <v>103</v>
      </c>
      <c r="B43" s="11" t="n">
        <f aca="false">SUMPRODUCT(--ISNUMBER(SEARCH(A43,'Raw Responses'!$G$2:$G$26)))</f>
        <v>6</v>
      </c>
      <c r="C43" s="12" t="n">
        <f aca="false">B43/COUNTA('Raw Responses'!$B$2:$B$26)</f>
        <v>0.24</v>
      </c>
    </row>
    <row r="44" customFormat="false" ht="15" hidden="false" customHeight="true" outlineLevel="0" collapsed="false">
      <c r="A44" s="10" t="s">
        <v>126</v>
      </c>
      <c r="B44" s="11" t="n">
        <f aca="false">SUMPRODUCT(--ISNUMBER(SEARCH(A44,'Raw Responses'!$G$2:$G$26)))</f>
        <v>4</v>
      </c>
      <c r="C44" s="12" t="n">
        <f aca="false">B44/COUNTA('Raw Responses'!$B$2:$B$26)</f>
        <v>0.16</v>
      </c>
    </row>
    <row r="45" customFormat="false" ht="15" hidden="false" customHeight="true" outlineLevel="0" collapsed="false">
      <c r="A45" s="10" t="s">
        <v>223</v>
      </c>
      <c r="B45" s="11" t="n">
        <f aca="false">SUMPRODUCT(--ISNUMBER(SEARCH(A45,'Raw Responses'!$G$2:$G$26)))</f>
        <v>1</v>
      </c>
      <c r="C45" s="12" t="n">
        <f aca="false">B45/COUNTA('Raw Responses'!$B$2:$B$26)</f>
        <v>0.04</v>
      </c>
    </row>
    <row r="46" customFormat="false" ht="15" hidden="false" customHeight="true" outlineLevel="0" collapsed="false">
      <c r="A46" s="10" t="s">
        <v>27</v>
      </c>
      <c r="B46" s="11" t="n">
        <f aca="false">SUMPRODUCT(--ISNUMBER(SEARCH(A46,'Raw Responses'!$G$2:$G$26)))</f>
        <v>1</v>
      </c>
      <c r="C46" s="12" t="n">
        <f aca="false">B46/COUNTA('Raw Responses'!$B$2:$B$26)</f>
        <v>0.04</v>
      </c>
    </row>
    <row r="47" customFormat="false" ht="15" hidden="false" customHeight="true" outlineLevel="0" collapsed="false">
      <c r="A47" s="7" t="s">
        <v>224</v>
      </c>
      <c r="B47" s="13" t="n">
        <f aca="false">SUM(B37:B46)</f>
        <v>62</v>
      </c>
    </row>
    <row r="49" customFormat="false" ht="15" hidden="false" customHeight="true" outlineLevel="0" collapsed="false">
      <c r="A49" s="6" t="s">
        <v>225</v>
      </c>
      <c r="B49" s="6"/>
      <c r="C49" s="6"/>
    </row>
    <row r="50" customFormat="false" ht="21.75" hidden="false" customHeight="true" outlineLevel="0" collapsed="false">
      <c r="A50" s="5" t="s">
        <v>226</v>
      </c>
      <c r="B50" s="5"/>
      <c r="C50" s="5"/>
      <c r="D50" s="5"/>
      <c r="E50" s="5"/>
      <c r="F50" s="5"/>
      <c r="G50" s="5"/>
    </row>
    <row r="51" customFormat="false" ht="34.5" hidden="false" customHeight="true" outlineLevel="0" collapsed="false">
      <c r="A51" s="9" t="s">
        <v>227</v>
      </c>
      <c r="B51" s="9" t="s">
        <v>218</v>
      </c>
      <c r="C51" s="9" t="s">
        <v>219</v>
      </c>
    </row>
    <row r="52" customFormat="false" ht="15" hidden="false" customHeight="true" outlineLevel="0" collapsed="false">
      <c r="A52" s="10" t="s">
        <v>52</v>
      </c>
      <c r="B52" s="11" t="n">
        <f aca="false">SUMPRODUCT(--ISNUMBER(SEARCH(A52,'Raw Responses'!$E$2:$E$26)))</f>
        <v>15</v>
      </c>
      <c r="C52" s="12" t="n">
        <f aca="false">B52/COUNTA('Raw Responses'!$B$2:$B$26)</f>
        <v>0.6</v>
      </c>
    </row>
    <row r="53" customFormat="false" ht="15" hidden="false" customHeight="true" outlineLevel="0" collapsed="false">
      <c r="A53" s="10" t="s">
        <v>228</v>
      </c>
      <c r="B53" s="11" t="n">
        <f aca="false">SUMPRODUCT(--ISNUMBER(SEARCH(A53,'Raw Responses'!$E$2:$E$26)))</f>
        <v>5</v>
      </c>
      <c r="C53" s="12" t="n">
        <f aca="false">B53/COUNTA('Raw Responses'!$B$2:$B$26)</f>
        <v>0.2</v>
      </c>
    </row>
    <row r="54" customFormat="false" ht="15" hidden="false" customHeight="true" outlineLevel="0" collapsed="false">
      <c r="A54" s="10" t="s">
        <v>155</v>
      </c>
      <c r="B54" s="11" t="n">
        <f aca="false">SUMPRODUCT(--ISNUMBER(SEARCH(A54,'Raw Responses'!$E$2:$E$26)))</f>
        <v>7</v>
      </c>
      <c r="C54" s="12" t="n">
        <f aca="false">B54/COUNTA('Raw Responses'!$B$2:$B$26)</f>
        <v>0.28</v>
      </c>
    </row>
    <row r="55" customFormat="false" ht="15" hidden="false" customHeight="true" outlineLevel="0" collapsed="false">
      <c r="A55" s="10" t="s">
        <v>229</v>
      </c>
      <c r="B55" s="11" t="n">
        <f aca="false">SUMPRODUCT(--ISNUMBER(SEARCH(A55,'Raw Responses'!$E$2:$E$26)))</f>
        <v>7</v>
      </c>
      <c r="C55" s="12" t="n">
        <f aca="false">B55/COUNTA('Raw Responses'!$B$2:$B$26)</f>
        <v>0.28</v>
      </c>
    </row>
    <row r="56" customFormat="false" ht="15" hidden="false" customHeight="true" outlineLevel="0" collapsed="false">
      <c r="A56" s="10" t="s">
        <v>230</v>
      </c>
      <c r="B56" s="11" t="n">
        <f aca="false">SUMPRODUCT(--ISNUMBER(SEARCH(A56,'Raw Responses'!$E$2:$E$26)))</f>
        <v>6</v>
      </c>
      <c r="C56" s="12" t="n">
        <f aca="false">B56/COUNTA('Raw Responses'!$B$2:$B$26)</f>
        <v>0.24</v>
      </c>
    </row>
    <row r="57" customFormat="false" ht="15" hidden="false" customHeight="true" outlineLevel="0" collapsed="false">
      <c r="A57" s="10" t="s">
        <v>69</v>
      </c>
      <c r="B57" s="11" t="n">
        <f aca="false">SUMPRODUCT(--ISNUMBER(SEARCH(A57,'Raw Responses'!$E$2:$E$26)))</f>
        <v>6</v>
      </c>
      <c r="C57" s="12" t="n">
        <f aca="false">B57/COUNTA('Raw Responses'!$B$2:$B$26)</f>
        <v>0.24</v>
      </c>
    </row>
    <row r="58" customFormat="false" ht="15" hidden="false" customHeight="true" outlineLevel="0" collapsed="false">
      <c r="A58" s="10" t="s">
        <v>231</v>
      </c>
      <c r="B58" s="11" t="n">
        <f aca="false">SUMPRODUCT(--ISNUMBER(SEARCH(A58,'Raw Responses'!$E$2:$E$26)))</f>
        <v>3</v>
      </c>
      <c r="C58" s="12" t="n">
        <f aca="false">B58/COUNTA('Raw Responses'!$B$2:$B$26)</f>
        <v>0.12</v>
      </c>
    </row>
    <row r="59" customFormat="false" ht="15" hidden="false" customHeight="true" outlineLevel="0" collapsed="false">
      <c r="A59" s="10" t="s">
        <v>78</v>
      </c>
      <c r="B59" s="11" t="n">
        <f aca="false">SUMPRODUCT(--ISNUMBER(SEARCH(A59,'Raw Responses'!$E$2:$E$26)))</f>
        <v>10</v>
      </c>
      <c r="C59" s="12" t="n">
        <f aca="false">B59/COUNTA('Raw Responses'!$B$2:$B$26)</f>
        <v>0.4</v>
      </c>
    </row>
    <row r="60" customFormat="false" ht="15" hidden="false" customHeight="true" outlineLevel="0" collapsed="false">
      <c r="A60" s="10" t="s">
        <v>163</v>
      </c>
      <c r="B60" s="11" t="n">
        <f aca="false">SUMPRODUCT(--ISNUMBER(SEARCH(A60,'Raw Responses'!$E$2:$E$26)))</f>
        <v>3</v>
      </c>
      <c r="C60" s="12" t="n">
        <f aca="false">B60/COUNTA('Raw Responses'!$B$2:$B$26)</f>
        <v>0.12</v>
      </c>
    </row>
    <row r="61" customFormat="false" ht="15" hidden="false" customHeight="true" outlineLevel="0" collapsed="false">
      <c r="A61" s="10" t="s">
        <v>102</v>
      </c>
      <c r="B61" s="11" t="n">
        <f aca="false">SUMPRODUCT(--ISNUMBER(SEARCH(A61,'Raw Responses'!$E$2:$E$26)))</f>
        <v>3</v>
      </c>
      <c r="C61" s="12" t="n">
        <f aca="false">B61/COUNTA('Raw Responses'!$B$2:$B$26)</f>
        <v>0.12</v>
      </c>
    </row>
    <row r="62" customFormat="false" ht="15" hidden="false" customHeight="true" outlineLevel="0" collapsed="false">
      <c r="A62" s="10" t="s">
        <v>27</v>
      </c>
      <c r="B62" s="11" t="n">
        <f aca="false">SUMPRODUCT(--ISNUMBER(SEARCH(A62,'Raw Responses'!$E$2:$E$26)))</f>
        <v>2</v>
      </c>
      <c r="C62" s="12" t="n">
        <f aca="false">B62/COUNTA('Raw Responses'!$B$2:$B$26)</f>
        <v>0.08</v>
      </c>
    </row>
    <row r="63" customFormat="false" ht="15" hidden="false" customHeight="true" outlineLevel="0" collapsed="false">
      <c r="A63" s="7" t="s">
        <v>224</v>
      </c>
      <c r="B63" s="13" t="n">
        <f aca="false">SUM(B52:B62)</f>
        <v>67</v>
      </c>
    </row>
    <row r="64" customFormat="false" ht="15" hidden="false" customHeight="true" outlineLevel="0" collapsed="false">
      <c r="A64" s="5" t="s">
        <v>232</v>
      </c>
      <c r="B64" s="5"/>
      <c r="C64" s="5"/>
      <c r="D64" s="5"/>
      <c r="E64" s="5"/>
      <c r="F64" s="11" t="n">
        <f aca="false">B53+B54</f>
        <v>12</v>
      </c>
    </row>
    <row r="66" customFormat="false" ht="15" hidden="false" customHeight="true" outlineLevel="0" collapsed="false">
      <c r="A66" s="6" t="s">
        <v>233</v>
      </c>
      <c r="B66" s="6"/>
      <c r="C66" s="6"/>
      <c r="D66" s="6"/>
      <c r="E66" s="6"/>
      <c r="F66" s="6"/>
      <c r="G66" s="6"/>
    </row>
    <row r="67" customFormat="false" ht="30" hidden="false" customHeight="true" outlineLevel="0" collapsed="false">
      <c r="A67" s="15" t="s">
        <v>234</v>
      </c>
      <c r="B67" s="15"/>
      <c r="C67" s="15"/>
      <c r="D67" s="15"/>
      <c r="E67" s="15"/>
      <c r="F67" s="15"/>
      <c r="G67" s="15"/>
    </row>
    <row r="68" customFormat="false" ht="30" hidden="false" customHeight="true" outlineLevel="0" collapsed="false">
      <c r="A68" s="15" t="s">
        <v>235</v>
      </c>
      <c r="B68" s="15"/>
      <c r="C68" s="15"/>
      <c r="D68" s="15"/>
      <c r="E68" s="15"/>
      <c r="F68" s="15"/>
      <c r="G68" s="15"/>
    </row>
    <row r="69" customFormat="false" ht="30" hidden="false" customHeight="true" outlineLevel="0" collapsed="false">
      <c r="A69" s="15" t="s">
        <v>236</v>
      </c>
      <c r="B69" s="15"/>
      <c r="C69" s="15"/>
      <c r="D69" s="15"/>
      <c r="E69" s="15"/>
      <c r="F69" s="15"/>
      <c r="G69" s="15"/>
    </row>
    <row r="70" customFormat="false" ht="30" hidden="false" customHeight="true" outlineLevel="0" collapsed="false">
      <c r="A70" s="15" t="s">
        <v>237</v>
      </c>
      <c r="B70" s="15"/>
      <c r="C70" s="15"/>
      <c r="D70" s="15"/>
      <c r="E70" s="15"/>
      <c r="F70" s="15"/>
      <c r="G70" s="15"/>
    </row>
    <row r="71" customFormat="false" ht="30" hidden="false" customHeight="true" outlineLevel="0" collapsed="false">
      <c r="A71" s="15" t="s">
        <v>238</v>
      </c>
      <c r="B71" s="15"/>
      <c r="C71" s="15"/>
      <c r="D71" s="15"/>
      <c r="E71" s="15"/>
      <c r="F71" s="15"/>
      <c r="G71" s="15"/>
    </row>
  </sheetData>
  <mergeCells count="20">
    <mergeCell ref="A1:G1"/>
    <mergeCell ref="A2:G2"/>
    <mergeCell ref="A4:C4"/>
    <mergeCell ref="A5:B5"/>
    <mergeCell ref="A14:C14"/>
    <mergeCell ref="A21:B21"/>
    <mergeCell ref="A22:G22"/>
    <mergeCell ref="A24:C24"/>
    <mergeCell ref="A32:B32"/>
    <mergeCell ref="A34:C34"/>
    <mergeCell ref="A35:G35"/>
    <mergeCell ref="A49:C49"/>
    <mergeCell ref="A50:G50"/>
    <mergeCell ref="A64:E64"/>
    <mergeCell ref="A66:G66"/>
    <mergeCell ref="A67:G67"/>
    <mergeCell ref="A68:G68"/>
    <mergeCell ref="A69:G69"/>
    <mergeCell ref="A70:G70"/>
    <mergeCell ref="A71:G7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F5496"/>
    <pageSetUpPr fitToPage="false"/>
  </sheetPr>
  <dimension ref="A1:H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8" min="8" style="0" width="25.32"/>
  </cols>
  <sheetData>
    <row r="1" customFormat="false" ht="21.75" hidden="false" customHeight="true" outlineLevel="0" collapsed="false">
      <c r="A1" s="16" t="s">
        <v>239</v>
      </c>
      <c r="B1" s="16"/>
      <c r="C1" s="16"/>
      <c r="D1" s="16"/>
      <c r="E1" s="16"/>
      <c r="F1" s="16"/>
      <c r="G1" s="16"/>
      <c r="H1" s="16"/>
    </row>
  </sheetData>
  <mergeCells count="1">
    <mergeCell ref="A1:H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48235"/>
    <pageSetUpPr fitToPage="false"/>
  </sheetPr>
  <dimension ref="A1:G2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0"/>
    <col collapsed="false" customWidth="true" hidden="false" outlineLevel="0" max="2" min="2" style="1" width="8"/>
    <col collapsed="false" customWidth="true" hidden="false" outlineLevel="0" max="6" min="3" style="1" width="30"/>
    <col collapsed="false" customWidth="true" hidden="false" outlineLevel="0" max="7" min="7" style="1" width="34"/>
  </cols>
  <sheetData>
    <row r="1" customFormat="false" ht="21.75" hidden="false" customHeight="true" outlineLevel="0" collapsed="false">
      <c r="A1" s="17" t="s">
        <v>240</v>
      </c>
      <c r="B1" s="17"/>
      <c r="C1" s="17"/>
      <c r="D1" s="17"/>
      <c r="E1" s="17"/>
      <c r="F1" s="17"/>
      <c r="G1" s="17"/>
    </row>
    <row r="2" customFormat="false" ht="39.75" hidden="false" customHeight="true" outlineLevel="0" collapsed="false">
      <c r="A2" s="5" t="s">
        <v>241</v>
      </c>
      <c r="B2" s="5"/>
      <c r="C2" s="5"/>
      <c r="D2" s="5"/>
      <c r="E2" s="5"/>
      <c r="F2" s="5"/>
      <c r="G2" s="5"/>
    </row>
    <row r="4" customFormat="false" ht="23.25" hidden="false" customHeight="true" outlineLevel="0" collapsed="false">
      <c r="A4" s="9" t="s">
        <v>242</v>
      </c>
      <c r="B4" s="9" t="s">
        <v>243</v>
      </c>
      <c r="C4" s="9" t="s">
        <v>244</v>
      </c>
      <c r="D4" s="9" t="s">
        <v>245</v>
      </c>
      <c r="E4" s="9" t="s">
        <v>246</v>
      </c>
      <c r="F4" s="9" t="s">
        <v>247</v>
      </c>
      <c r="G4" s="9" t="s">
        <v>248</v>
      </c>
    </row>
    <row r="5" customFormat="false" ht="48" hidden="false" customHeight="true" outlineLevel="0" collapsed="false">
      <c r="A5" s="18" t="n">
        <v>1</v>
      </c>
      <c r="B5" s="19" t="str">
        <f aca="false">'Raw Responses'!B2</f>
        <v>4th</v>
      </c>
      <c r="C5" s="3" t="str">
        <f aca="false">IF('Raw Responses'!H2="","(no response)",'Raw Responses'!H2)</f>
        <v>Deadline</v>
      </c>
      <c r="D5" s="3" t="str">
        <f aca="false">IF('Raw Responses'!I2="","(no response)",'Raw Responses'!I2)</f>
        <v>Shree ram sir 
Blocked me 😔</v>
      </c>
      <c r="E5" s="3" t="str">
        <f aca="false">IF('Raw Responses'!J2="","(no response)",'Raw Responses'!J2)</f>
        <v>The credit limit</v>
      </c>
      <c r="F5" s="3" t="str">
        <f aca="false">IF('Raw Responses'!K2="","(no response)",'Raw Responses'!K2)</f>
        <v>I will change the placement cell</v>
      </c>
      <c r="G5" s="20" t="s">
        <v>249</v>
      </c>
    </row>
    <row r="6" customFormat="false" ht="48" hidden="false" customHeight="true" outlineLevel="0" collapsed="false">
      <c r="A6" s="18" t="n">
        <v>2</v>
      </c>
      <c r="B6" s="19" t="str">
        <f aca="false">'Raw Responses'!B3</f>
        <v>4th</v>
      </c>
      <c r="C6" s="3" t="str">
        <f aca="false">IF('Raw Responses'!H3="","(no response)",'Raw Responses'!H3)</f>
        <v>Time management</v>
      </c>
      <c r="D6" s="3" t="str">
        <f aca="false">IF('Raw Responses'!I3="","(no response)",'Raw Responses'!I3)</f>
        <v>I missed an application form before deadline.</v>
      </c>
      <c r="E6" s="3" t="str">
        <f aca="false">IF('Raw Responses'!J3="","(no response)",'Raw Responses'!J3)</f>
        <v>Not accurate, or no knowledge of perfect tools.</v>
      </c>
      <c r="F6" s="3" t="str">
        <f aca="false">IF('Raw Responses'!K3="","(no response)",'Raw Responses'!K3)</f>
        <v>Time management</v>
      </c>
      <c r="G6" s="20" t="s">
        <v>250</v>
      </c>
    </row>
    <row r="7" customFormat="false" ht="48" hidden="false" customHeight="true" outlineLevel="0" collapsed="false">
      <c r="A7" s="18" t="n">
        <v>3</v>
      </c>
      <c r="B7" s="19" t="str">
        <f aca="false">'Raw Responses'!B4</f>
        <v>4th</v>
      </c>
      <c r="C7" s="3" t="str">
        <f aca="false">IF('Raw Responses'!H4="","(no response)",'Raw Responses'!H4)</f>
        <v>Keeping track of deadlines scattered across different platforms and remembering tasks that have different due dates and priorities.</v>
      </c>
      <c r="D7" s="3" t="str">
        <f aca="false">IF('Raw Responses'!I4="","(no response)",'Raw Responses'!I4)</f>
        <v>I recently almost missed a college application deadline because the information was shared in mail and got buried under other messages. I noticed it only when the deadline was approaching and had to complete the application quickly.</v>
      </c>
      <c r="E7" s="3" t="str">
        <f aca="false">IF('Raw Responses'!J4="","(no response)",'Raw Responses'!J4)</f>
        <v>The information is scattered across the college portal, email, and calendars. There is no single place that shows all my upcoming deadlines and priorities.</v>
      </c>
      <c r="F7" s="3" t="str">
        <f aca="false">IF('Raw Responses'!K4="","(no response)",'Raw Responses'!K4)</f>
        <v>I would create one centralized system that automatically collects deadlines from different platforms and gives reminders based on priority and urgency.</v>
      </c>
      <c r="G7" s="20" t="s">
        <v>251</v>
      </c>
    </row>
    <row r="8" customFormat="false" ht="48" hidden="false" customHeight="true" outlineLevel="0" collapsed="false">
      <c r="A8" s="18" t="n">
        <v>4</v>
      </c>
      <c r="B8" s="19" t="str">
        <f aca="false">'Raw Responses'!B5</f>
        <v>3rd</v>
      </c>
      <c r="C8" s="3" t="str">
        <f aca="false">IF('Raw Responses'!H5="","(no response)",'Raw Responses'!H5)</f>
        <v>To much work at once</v>
      </c>
      <c r="D8" s="3" t="str">
        <f aca="false">IF('Raw Responses'!I5="","(no response)",'Raw Responses'!I5)</f>
        <v>Yesterday</v>
      </c>
      <c r="E8" s="3" t="str">
        <f aca="false">IF('Raw Responses'!J5="","(no response)",'Raw Responses'!J5)</f>
        <v>They don't remind me consistently</v>
      </c>
      <c r="F8" s="3" t="str">
        <f aca="false">IF('Raw Responses'!K5="","(no response)",'Raw Responses'!K5)</f>
        <v>Some kind of alarm when deadline are near</v>
      </c>
      <c r="G8" s="20" t="s">
        <v>252</v>
      </c>
    </row>
    <row r="9" customFormat="false" ht="48" hidden="false" customHeight="true" outlineLevel="0" collapsed="false">
      <c r="A9" s="18" t="n">
        <v>5</v>
      </c>
      <c r="B9" s="19" t="str">
        <f aca="false">'Raw Responses'!B6</f>
        <v>4th</v>
      </c>
      <c r="C9" s="3" t="str">
        <f aca="false">IF('Raw Responses'!H6="","(no response)",'Raw Responses'!H6)</f>
        <v>Remembering all these</v>
      </c>
      <c r="D9" s="3" t="str">
        <f aca="false">IF('Raw Responses'!I6="","(no response)",'Raw Responses'!I6)</f>
        <v>I almost missed an assignment deadline because I forgot to note it down. A friend reminded me just in time, and I submitted it before the deadline</v>
      </c>
      <c r="E9" s="3" t="str">
        <f aca="false">IF('Raw Responses'!J6="","(no response)",'Raw Responses'!J6)</f>
        <v>Information is spread across multiple apps, making it easy to miss important updates and deadlines.</v>
      </c>
      <c r="F9" s="3" t="str">
        <f aca="false">IF('Raw Responses'!K6="","(no response)",'Raw Responses'!K6)</f>
        <v>I would like all assignments, exams, and deadlines to be organized in one place with reminders.</v>
      </c>
      <c r="G9" s="20" t="s">
        <v>253</v>
      </c>
    </row>
    <row r="10" customFormat="false" ht="48" hidden="false" customHeight="true" outlineLevel="0" collapsed="false">
      <c r="A10" s="18" t="n">
        <v>6</v>
      </c>
      <c r="B10" s="19" t="str">
        <f aca="false">'Raw Responses'!B7</f>
        <v>4th</v>
      </c>
      <c r="C10" s="3" t="str">
        <f aca="false">IF('Raw Responses'!H7="","(no response)",'Raw Responses'!H7)</f>
        <v>Keeping track of tasks and remembering to work on them at the right time. I sometimes remember a task too early or only after I was supposed to do it, even when I know it needs to be done.</v>
      </c>
      <c r="D10" s="3" t="str">
        <f aca="false">IF('Raw Responses'!I7="","(no response)",'Raw Responses'!I7)</f>
        <v>Recently, I missed the deadline for filling out a few placement forms. I remembered about them too late, and by then the applications had closed, so I was no longer eligible to sit for those companies. As a result, I lost a few placement opportunities.</v>
      </c>
      <c r="E10" s="3" t="str">
        <f aca="false">IF('Raw Responses'!J7="","(no response)",'Raw Responses'!J7)</f>
        <v>The tools I currently use are scattered and require too much manual effort. WhatsApp messages can get lost, Notes become messy as the number of tasks increases, and I have to create a new reminder every time I get a task—which I sometimes forget to do. With the large volume of emails we receive, important ones can also easily get buried.</v>
      </c>
      <c r="F10" s="3" t="str">
        <f aca="false">IF('Raw Responses'!K7="","(no response)",'Raw Responses'!K7)</f>
        <v>I would like to have one reliable system where all my responsibilities are tracked automatically, rather than having to remember them myself or manually create reminders. It should remind me early enough and again closer to the deadline so I have multiple chances to act on them.</v>
      </c>
      <c r="G10" s="20" t="s">
        <v>254</v>
      </c>
    </row>
    <row r="11" customFormat="false" ht="48" hidden="false" customHeight="true" outlineLevel="0" collapsed="false">
      <c r="A11" s="18" t="n">
        <v>7</v>
      </c>
      <c r="B11" s="19" t="str">
        <f aca="false">'Raw Responses'!B8</f>
        <v>4th</v>
      </c>
      <c r="C11" s="3" t="str">
        <f aca="false">IF('Raw Responses'!H8="","(no response)",'Raw Responses'!H8)</f>
        <v>Forget important things.</v>
      </c>
      <c r="D11" s="3" t="str">
        <f aca="false">IF('Raw Responses'!I8="","(no response)",'Raw Responses'!I8)</f>
        <v>I become stressed</v>
      </c>
      <c r="E11" s="3" t="str">
        <f aca="false">IF('Raw Responses'!J8="","(no response)",'Raw Responses'!J8)</f>
        <v>UI is not good.</v>
      </c>
      <c r="F11" s="3" t="str">
        <f aca="false">IF('Raw Responses'!K8="","(no response)",'Raw Responses'!K8)</f>
        <v>Give the notification alarm for important thing.</v>
      </c>
      <c r="G11" s="20" t="s">
        <v>255</v>
      </c>
    </row>
    <row r="12" customFormat="false" ht="48" hidden="false" customHeight="true" outlineLevel="0" collapsed="false">
      <c r="A12" s="18" t="n">
        <v>8</v>
      </c>
      <c r="B12" s="19" t="str">
        <f aca="false">'Raw Responses'!B9</f>
        <v>1st</v>
      </c>
      <c r="C12" s="3" t="str">
        <f aca="false">IF('Raw Responses'!H9="","(no response)",'Raw Responses'!H9)</f>
        <v>Managing my time between classes, assignments and studies</v>
      </c>
      <c r="D12" s="3" t="str">
        <f aca="false">IF('Raw Responses'!I9="","(no response)",'Raw Responses'!I9)</f>
        <v>I recently almost missed an assignment deadline because I had multiple classes and tasks to manage at the same time. I completed it just before the deadline.</v>
      </c>
      <c r="E12" s="3" t="str">
        <f aca="false">IF('Raw Responses'!J9="","(no response)",'Raw Responses'!J9)</f>
        <v>Important information is spread across different apps, so it is sometimes difficult to keep track of everything in one place.</v>
      </c>
      <c r="F12" s="3" t="str">
        <f aca="false">IF('Raw Responses'!K9="","(no response)",'Raw Responses'!K9)</f>
        <v>I would improve my time management by keeping all my college tasks, deadlines, and reminders organized in one place.</v>
      </c>
      <c r="G12" s="20" t="s">
        <v>256</v>
      </c>
    </row>
    <row r="13" customFormat="false" ht="48" hidden="false" customHeight="true" outlineLevel="0" collapsed="false">
      <c r="A13" s="18" t="n">
        <v>9</v>
      </c>
      <c r="B13" s="19" t="str">
        <f aca="false">'Raw Responses'!B10</f>
        <v>4th</v>
      </c>
      <c r="C13" s="3" t="str">
        <f aca="false">IF('Raw Responses'!H10="","(no response)",'Raw Responses'!H10)</f>
        <v>Managing my time between studies, assignments, and personal responsibilities.</v>
      </c>
      <c r="D13" s="3" t="str">
        <f aca="false">IF('Raw Responses'!I10="","(no response)",'Raw Responses'!I10)</f>
        <v>I almost missed an assignment deadline because I forgot about it while handling other work.</v>
      </c>
      <c r="E13" s="3" t="str">
        <f aca="false">IF('Raw Responses'!J10="","(no response)",'Raw Responses'!J10)</f>
        <v>I have to use different apps for different tasks, which can be confusing.</v>
      </c>
      <c r="F13" s="3" t="str">
        <f aca="false">IF('Raw Responses'!K10="","(no response)",'Raw Responses'!K10)</f>
        <v>I would like one simple app to manage all my college tasks and deadlines.</v>
      </c>
      <c r="G13" s="20" t="s">
        <v>256</v>
      </c>
    </row>
    <row r="14" customFormat="false" ht="48" hidden="false" customHeight="true" outlineLevel="0" collapsed="false">
      <c r="A14" s="18" t="n">
        <v>10</v>
      </c>
      <c r="B14" s="19" t="str">
        <f aca="false">'Raw Responses'!B11</f>
        <v>4th</v>
      </c>
      <c r="C14" s="3" t="str">
        <f aca="false">IF('Raw Responses'!H11="","(no response)",'Raw Responses'!H11)</f>
        <v>Managing multiple things at once</v>
      </c>
      <c r="D14" s="3" t="str">
        <f aca="false">IF('Raw Responses'!I11="","(no response)",'Raw Responses'!I11)</f>
        <v>I misssed the online assignment streak of coding</v>
      </c>
      <c r="E14" s="3" t="str">
        <f aca="false">IF('Raw Responses'!J11="","(no response)",'Raw Responses'!J11)</f>
        <v>No reminders</v>
      </c>
      <c r="F14" s="3" t="str">
        <f aca="false">IF('Raw Responses'!K11="","(no response)",'Raw Responses'!K11)</f>
        <v>Manage thing systematically</v>
      </c>
      <c r="G14" s="20" t="s">
        <v>252</v>
      </c>
    </row>
    <row r="15" customFormat="false" ht="48" hidden="false" customHeight="true" outlineLevel="0" collapsed="false">
      <c r="A15" s="18" t="n">
        <v>11</v>
      </c>
      <c r="B15" s="19" t="str">
        <f aca="false">'Raw Responses'!B12</f>
        <v>4th</v>
      </c>
      <c r="C15" s="3" t="str">
        <f aca="false">IF('Raw Responses'!H12="","(no response)",'Raw Responses'!H12)</f>
        <v>(no response)</v>
      </c>
      <c r="D15" s="3" t="str">
        <f aca="false">IF('Raw Responses'!I12="","(no response)",'Raw Responses'!I12)</f>
        <v>(no response)</v>
      </c>
      <c r="E15" s="3" t="str">
        <f aca="false">IF('Raw Responses'!J12="","(no response)",'Raw Responses'!J12)</f>
        <v>They do not update it from time to time</v>
      </c>
      <c r="F15" s="3" t="str">
        <f aca="false">IF('Raw Responses'!K12="","(no response)",'Raw Responses'!K12)</f>
        <v>I want to be better version of myself as compare to previous day.</v>
      </c>
      <c r="G15" s="20" t="s">
        <v>249</v>
      </c>
    </row>
    <row r="16" customFormat="false" ht="48" hidden="false" customHeight="true" outlineLevel="0" collapsed="false">
      <c r="A16" s="18" t="n">
        <v>12</v>
      </c>
      <c r="B16" s="19" t="str">
        <f aca="false">'Raw Responses'!B13</f>
        <v>4th</v>
      </c>
      <c r="C16" s="3" t="str">
        <f aca="false">IF('Raw Responses'!H13="","(no response)",'Raw Responses'!H13)</f>
        <v>(no response)</v>
      </c>
      <c r="D16" s="3" t="str">
        <f aca="false">IF('Raw Responses'!I13="","(no response)",'Raw Responses'!I13)</f>
        <v>(no response)</v>
      </c>
      <c r="E16" s="3" t="str">
        <f aca="false">IF('Raw Responses'!J13="","(no response)",'Raw Responses'!J13)</f>
        <v>(no response)</v>
      </c>
      <c r="F16" s="3" t="str">
        <f aca="false">IF('Raw Responses'!K13="","(no response)",'Raw Responses'!K13)</f>
        <v>(no response)</v>
      </c>
      <c r="G16" s="20" t="s">
        <v>257</v>
      </c>
    </row>
    <row r="17" customFormat="false" ht="48" hidden="false" customHeight="true" outlineLevel="0" collapsed="false">
      <c r="A17" s="18" t="n">
        <v>13</v>
      </c>
      <c r="B17" s="19" t="str">
        <f aca="false">'Raw Responses'!B14</f>
        <v>4th</v>
      </c>
      <c r="C17" s="3" t="str">
        <f aca="false">IF('Raw Responses'!H14="","(no response)",'Raw Responses'!H14)</f>
        <v>I forget the deadline at last moment. I remember till 11:00 but forget at 12:00</v>
      </c>
      <c r="D17" s="3" t="str">
        <f aca="false">IF('Raw Responses'!I14="","(no response)",'Raw Responses'!I14)</f>
        <v>An assignment form given 1 week ago which I had already completed</v>
      </c>
      <c r="E17" s="3" t="str">
        <f aca="false">IF('Raw Responses'!J14="","(no response)",'Raw Responses'!J14)</f>
        <v>I still forget</v>
      </c>
      <c r="F17" s="3" t="str">
        <f aca="false">IF('Raw Responses'!K14="","(no response)",'Raw Responses'!K14)</f>
        <v>(no response)</v>
      </c>
      <c r="G17" s="20" t="s">
        <v>258</v>
      </c>
    </row>
    <row r="18" customFormat="false" ht="48" hidden="false" customHeight="true" outlineLevel="0" collapsed="false">
      <c r="A18" s="18" t="n">
        <v>14</v>
      </c>
      <c r="B18" s="19" t="str">
        <f aca="false">'Raw Responses'!B15</f>
        <v>1st</v>
      </c>
      <c r="C18" s="3" t="str">
        <f aca="false">IF('Raw Responses'!H15="","(no response)",'Raw Responses'!H15)</f>
        <v>Not the biggest difficulty but
 ...I am living alone and I have to cook for myself and all the homestuff also ...so i am facing a difficulty a little to manage aal college things</v>
      </c>
      <c r="D18" s="3" t="str">
        <f aca="false">IF('Raw Responses'!I15="","(no response)",'Raw Responses'!I15)</f>
        <v>Yeah I missed to submit assignment</v>
      </c>
      <c r="E18" s="3" t="str">
        <f aca="false">IF('Raw Responses'!J15="","(no response)",'Raw Responses'!J15)</f>
        <v>The due date in Google classroom</v>
      </c>
      <c r="F18" s="3" t="str">
        <f aca="false">IF('Raw Responses'!K15="","(no response)",'Raw Responses'!K15)</f>
        <v>I would change my sleep and other stuffs to manage college responsibilities</v>
      </c>
      <c r="G18" s="20" t="s">
        <v>259</v>
      </c>
    </row>
    <row r="19" customFormat="false" ht="48" hidden="false" customHeight="true" outlineLevel="0" collapsed="false">
      <c r="A19" s="18" t="n">
        <v>15</v>
      </c>
      <c r="B19" s="19" t="str">
        <f aca="false">'Raw Responses'!B16</f>
        <v>4th</v>
      </c>
      <c r="C19" s="3" t="str">
        <f aca="false">IF('Raw Responses'!H16="","(no response)",'Raw Responses'!H16)</f>
        <v>Struggle with completing them within the given deadline</v>
      </c>
      <c r="D19" s="3" t="str">
        <f aca="false">IF('Raw Responses'!I16="","(no response)",'Raw Responses'!I16)</f>
        <v>Missed to attend ppt of a company that can for placement drive in my college</v>
      </c>
      <c r="E19" s="3" t="str">
        <f aca="false">IF('Raw Responses'!J16="","(no response)",'Raw Responses'!J16)</f>
        <v>Updating the applications to the latest version and also a lot of unnecessary notifications</v>
      </c>
      <c r="F19" s="3" t="str">
        <f aca="false">IF('Raw Responses'!K16="","(no response)",'Raw Responses'!K16)</f>
        <v>Be more careful and punctual</v>
      </c>
      <c r="G19" s="20" t="s">
        <v>250</v>
      </c>
    </row>
    <row r="20" customFormat="false" ht="48" hidden="false" customHeight="true" outlineLevel="0" collapsed="false">
      <c r="A20" s="18" t="n">
        <v>16</v>
      </c>
      <c r="B20" s="19" t="str">
        <f aca="false">'Raw Responses'!B17</f>
        <v>4th</v>
      </c>
      <c r="C20" s="3" t="str">
        <f aca="false">IF('Raw Responses'!H17="","(no response)",'Raw Responses'!H17)</f>
        <v>The biggest difficulty is keeping track of different deadlines. Important dates are often shared on email or in different places, so sometimes I forget about a form, application or project deadline until it is very close.</v>
      </c>
      <c r="D20" s="3" t="str">
        <f aca="false">IF('Raw Responses'!I17="","(no response)",'Raw Responses'!I17)</f>
        <v>Recently, I almost missed a project deadline because the deadline was shared earlier on email and I did not keep track of it separately. I remembered it when the deadline was getting close and had to finish the remaining work quickly.</v>
      </c>
      <c r="E20" s="3" t="str">
        <f aca="false">IF('Raw Responses'!J17="","(no response)",'Raw Responses'!J17)</f>
        <v>I use WhatsApp, a diary/notebook and phone reminders, but none of them gives me a complete view of everything. I have to check different places to know what deadlines and tasks are coming up.</v>
      </c>
      <c r="F20" s="3" t="str">
        <f aca="false">IF('Raw Responses'!K17="","(no response)",'Raw Responses'!K17)</f>
        <v>I would want one place where I can keep track of all my forms, applications, project deadlines and other important college tasks, so I do not have to depend on WhatsApp messages, notes and separate reminders.</v>
      </c>
      <c r="G20" s="20" t="s">
        <v>260</v>
      </c>
    </row>
    <row r="21" customFormat="false" ht="48" hidden="false" customHeight="true" outlineLevel="0" collapsed="false">
      <c r="A21" s="18" t="n">
        <v>17</v>
      </c>
      <c r="B21" s="19" t="str">
        <f aca="false">'Raw Responses'!B18</f>
        <v>1st</v>
      </c>
      <c r="C21" s="3" t="str">
        <f aca="false">IF('Raw Responses'!H18="","(no response)",'Raw Responses'!H18)</f>
        <v>Nothing</v>
      </c>
      <c r="D21" s="3" t="str">
        <f aca="false">IF('Raw Responses'!I18="","(no response)",'Raw Responses'!I18)</f>
        <v>Missed a extra class at 2pm which is on my calendar</v>
      </c>
      <c r="E21" s="3" t="str">
        <f aca="false">IF('Raw Responses'!J18="","(no response)",'Raw Responses'!J18)</f>
        <v>They are alright but we are using them in a wrong way</v>
      </c>
      <c r="F21" s="3" t="str">
        <f aca="false">IF('Raw Responses'!K18="","(no response)",'Raw Responses'!K18)</f>
        <v>I will edit these applications and apply a alarm ringtone on these important events</v>
      </c>
      <c r="G21" s="20" t="s">
        <v>255</v>
      </c>
    </row>
    <row r="22" customFormat="false" ht="48" hidden="false" customHeight="true" outlineLevel="0" collapsed="false">
      <c r="A22" s="18" t="n">
        <v>18</v>
      </c>
      <c r="B22" s="19" t="str">
        <f aca="false">'Raw Responses'!B19</f>
        <v>1st</v>
      </c>
      <c r="C22" s="3" t="str">
        <f aca="false">IF('Raw Responses'!H19="","(no response)",'Raw Responses'!H19)</f>
        <v>I forgot</v>
      </c>
      <c r="D22" s="3" t="str">
        <f aca="false">IF('Raw Responses'!I19="","(no response)",'Raw Responses'!I19)</f>
        <v>I many time missed my assignment</v>
      </c>
      <c r="E22" s="3" t="str">
        <f aca="false">IF('Raw Responses'!J19="","(no response)",'Raw Responses'!J19)</f>
        <v>Thier ui</v>
      </c>
      <c r="F22" s="3" t="str">
        <f aca="false">IF('Raw Responses'!K19="","(no response)",'Raw Responses'!K19)</f>
        <v>Nothing but laziness</v>
      </c>
      <c r="G22" s="20" t="s">
        <v>261</v>
      </c>
    </row>
    <row r="23" customFormat="false" ht="48" hidden="false" customHeight="true" outlineLevel="0" collapsed="false">
      <c r="A23" s="18" t="n">
        <v>19</v>
      </c>
      <c r="B23" s="19" t="str">
        <f aca="false">'Raw Responses'!B20</f>
        <v>4th</v>
      </c>
      <c r="C23" s="3" t="str">
        <f aca="false">IF('Raw Responses'!H20="","(no response)",'Raw Responses'!H20)</f>
        <v>Remembering all things</v>
      </c>
      <c r="D23" s="3" t="str">
        <f aca="false">IF('Raw Responses'!I20="","(no response)",'Raw Responses'!I20)</f>
        <v>Latest form submission deadline</v>
      </c>
      <c r="E23" s="3" t="str">
        <f aca="false">IF('Raw Responses'!J20="","(no response)",'Raw Responses'!J20)</f>
        <v>No actual reminders</v>
      </c>
      <c r="F23" s="3" t="str">
        <f aca="false">IF('Raw Responses'!K20="","(no response)",'Raw Responses'!K20)</f>
        <v>Submit the task before deadline</v>
      </c>
      <c r="G23" s="20" t="s">
        <v>258</v>
      </c>
    </row>
    <row r="24" customFormat="false" ht="48" hidden="false" customHeight="true" outlineLevel="0" collapsed="false">
      <c r="A24" s="18" t="n">
        <v>20</v>
      </c>
      <c r="B24" s="19" t="str">
        <f aca="false">'Raw Responses'!B21</f>
        <v>4th</v>
      </c>
      <c r="C24" s="3" t="str">
        <f aca="false">IF('Raw Responses'!H21="","(no response)",'Raw Responses'!H21)</f>
        <v>The tracking application is not a sinhle one, but many, so hard to manage and track responsibility</v>
      </c>
      <c r="D24" s="3" t="str">
        <f aca="false">IF('Raw Responses'!I21="","(no response)",'Raw Responses'!I21)</f>
        <v>1week prior, i forgot to apply for a internship</v>
      </c>
      <c r="E24" s="3" t="str">
        <f aca="false">IF('Raw Responses'!J21="","(no response)",'Raw Responses'!J21)</f>
        <v>One app only offer one out two features for taking not all essential tracking features</v>
      </c>
      <c r="F24" s="3" t="str">
        <f aca="false">IF('Raw Responses'!K21="","(no response)",'Raw Responses'!K21)</f>
        <v>All in one single tracking app</v>
      </c>
      <c r="G24" s="20" t="s">
        <v>262</v>
      </c>
    </row>
    <row r="25" customFormat="false" ht="48" hidden="false" customHeight="true" outlineLevel="0" collapsed="false">
      <c r="A25" s="18" t="n">
        <v>21</v>
      </c>
      <c r="B25" s="19" t="str">
        <f aca="false">'Raw Responses'!B22</f>
        <v>2nd</v>
      </c>
      <c r="C25" s="3" t="str">
        <f aca="false">IF('Raw Responses'!H22="","(no response)",'Raw Responses'!H22)</f>
        <v>Reminder problem</v>
      </c>
      <c r="D25" s="3" t="str">
        <f aca="false">IF('Raw Responses'!I22="","(no response)",'Raw Responses'!I22)</f>
        <v>Assignment was missed because I forgot the the deadline</v>
      </c>
      <c r="E25" s="3" t="str">
        <f aca="false">IF('Raw Responses'!J22="","(no response)",'Raw Responses'!J22)</f>
        <v>Writing assignments manually</v>
      </c>
      <c r="F25" s="3" t="str">
        <f aca="false">IF('Raw Responses'!K22="","(no response)",'Raw Responses'!K22)</f>
        <v>I would make myself more responsible towards how I manage my time</v>
      </c>
      <c r="G25" s="20" t="s">
        <v>263</v>
      </c>
    </row>
    <row r="26" customFormat="false" ht="48" hidden="false" customHeight="true" outlineLevel="0" collapsed="false">
      <c r="A26" s="18" t="n">
        <v>22</v>
      </c>
      <c r="B26" s="19" t="str">
        <f aca="false">'Raw Responses'!B23</f>
        <v>4th</v>
      </c>
      <c r="C26" s="3" t="str">
        <f aca="false">IF('Raw Responses'!H23="","(no response)",'Raw Responses'!H23)</f>
        <v>The biggest difficulty is procrastination. Sometimes I tend to delay tasks, especially when I have multiple things to handle at the same time, due to which it feels unnecessary pressure as the deadline gets closer.</v>
      </c>
      <c r="D26" s="3" t="str">
        <f aca="false">IF('Raw Responses'!I23="","(no response)",'Raw Responses'!I23)</f>
        <v>I don't remember anything I missed anything important. I missed some unimportant things, which really didn't matter at the end.</v>
      </c>
      <c r="E26" s="3" t="str">
        <f aca="false">IF('Raw Responses'!J23="","(no response)",'Raw Responses'!J23)</f>
        <v>One thing is that I make unrealistic to-do lists and then, never follows them from the heart. So, it's not about the app, it's basically my problem.</v>
      </c>
      <c r="F26" s="3" t="str">
        <f aca="false">IF('Raw Responses'!K23="","(no response)",'Raw Responses'!K23)</f>
        <v>I would really want to improve my time management to avoid last-minute pressure.</v>
      </c>
      <c r="G26" s="20" t="s">
        <v>264</v>
      </c>
    </row>
    <row r="27" customFormat="false" ht="48" hidden="false" customHeight="true" outlineLevel="0" collapsed="false">
      <c r="A27" s="18" t="n">
        <v>23</v>
      </c>
      <c r="B27" s="19" t="str">
        <f aca="false">'Raw Responses'!B24</f>
        <v>3rd</v>
      </c>
      <c r="C27" s="3" t="str">
        <f aca="false">IF('Raw Responses'!H24="","(no response)",'Raw Responses'!H24)</f>
        <v>Balancing lectures, study time, assignments, and personal life without getting overwhelmed.</v>
      </c>
      <c r="D27" s="3" t="str">
        <f aca="false">IF('Raw Responses'!I24="","(no response)",'Raw Responses'!I24)</f>
        <v>Nothing</v>
      </c>
      <c r="E27" s="3" t="str">
        <f aca="false">IF('Raw Responses'!J24="","(no response)",'Raw Responses'!J24)</f>
        <v>I dislike having to switch between multiple platforms (like WhatsApp, email, and the college portal)</v>
      </c>
      <c r="F27" s="3" t="str">
        <f aca="false">IF('Raw Responses'!K24="","(no response)",'Raw Responses'!K24)</f>
        <v>Having a single, unified dashboard where all deadlines, timetables, and links are kept in one accessible place.</v>
      </c>
      <c r="G27" s="20" t="s">
        <v>265</v>
      </c>
    </row>
    <row r="28" customFormat="false" ht="48" hidden="false" customHeight="true" outlineLevel="0" collapsed="false">
      <c r="A28" s="18" t="n">
        <v>24</v>
      </c>
      <c r="B28" s="19" t="str">
        <f aca="false">'Raw Responses'!B25</f>
        <v>2nd</v>
      </c>
      <c r="C28" s="3" t="str">
        <f aca="false">IF('Raw Responses'!H25="","(no response)",'Raw Responses'!H25)</f>
        <v>No</v>
      </c>
      <c r="D28" s="3" t="str">
        <f aca="false">IF('Raw Responses'!I25="","(no response)",'Raw Responses'!I25)</f>
        <v>No</v>
      </c>
      <c r="E28" s="3" t="str">
        <f aca="false">IF('Raw Responses'!J25="","(no response)",'Raw Responses'!J25)</f>
        <v>No</v>
      </c>
      <c r="F28" s="3" t="str">
        <f aca="false">IF('Raw Responses'!K25="","(no response)",'Raw Responses'!K25)</f>
        <v>No</v>
      </c>
      <c r="G28" s="20" t="s">
        <v>257</v>
      </c>
    </row>
    <row r="29" customFormat="false" ht="48" hidden="false" customHeight="true" outlineLevel="0" collapsed="false">
      <c r="A29" s="18" t="n">
        <v>25</v>
      </c>
      <c r="B29" s="19" t="str">
        <f aca="false">'Raw Responses'!B26</f>
        <v>4th</v>
      </c>
      <c r="C29" s="3" t="str">
        <f aca="false">IF('Raw Responses'!H26="","(no response)",'Raw Responses'!H26)</f>
        <v>Sleep late</v>
      </c>
      <c r="D29" s="3" t="str">
        <f aca="false">IF('Raw Responses'!I26="","(no response)",'Raw Responses'!I26)</f>
        <v>Project deadline</v>
      </c>
      <c r="E29" s="3" t="str">
        <f aca="false">IF('Raw Responses'!J26="","(no response)",'Raw Responses'!J26)</f>
        <v>interface</v>
      </c>
      <c r="F29" s="3" t="str">
        <f aca="false">IF('Raw Responses'!K26="","(no response)",'Raw Responses'!K26)</f>
        <v>schedule</v>
      </c>
      <c r="G29" s="20" t="s">
        <v>250</v>
      </c>
    </row>
  </sheetData>
  <mergeCells count="2">
    <mergeCell ref="A1:G1"/>
    <mergeCell ref="A2:G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48235"/>
    <pageSetUpPr fitToPage="false"/>
  </sheetPr>
  <dimension ref="A1:G1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26"/>
    <col collapsed="false" customWidth="true" hidden="false" outlineLevel="0" max="3" min="2" style="1" width="12"/>
    <col collapsed="false" customWidth="true" hidden="false" outlineLevel="0" max="4" min="4" style="1" width="36"/>
    <col collapsed="false" customWidth="true" hidden="false" outlineLevel="0" max="5" min="5" style="1" width="40"/>
    <col collapsed="false" customWidth="true" hidden="false" outlineLevel="0" max="6" min="6" style="1" width="26"/>
  </cols>
  <sheetData>
    <row r="1" customFormat="false" ht="21.75" hidden="false" customHeight="true" outlineLevel="0" collapsed="false">
      <c r="A1" s="17" t="s">
        <v>266</v>
      </c>
      <c r="B1" s="17"/>
      <c r="C1" s="17"/>
      <c r="D1" s="17"/>
      <c r="E1" s="17"/>
      <c r="F1" s="17"/>
      <c r="G1" s="17"/>
    </row>
    <row r="2" customFormat="false" ht="25.5" hidden="false" customHeight="true" outlineLevel="0" collapsed="false">
      <c r="A2" s="5" t="s">
        <v>267</v>
      </c>
      <c r="B2" s="5"/>
      <c r="C2" s="5"/>
      <c r="D2" s="5"/>
      <c r="E2" s="5"/>
      <c r="F2" s="5"/>
      <c r="G2" s="5"/>
    </row>
    <row r="4" customFormat="false" ht="34.5" hidden="false" customHeight="true" outlineLevel="0" collapsed="false">
      <c r="A4" s="9" t="s">
        <v>268</v>
      </c>
      <c r="B4" s="9" t="s">
        <v>269</v>
      </c>
      <c r="C4" s="9" t="s">
        <v>270</v>
      </c>
      <c r="D4" s="9" t="s">
        <v>271</v>
      </c>
      <c r="E4" s="9" t="s">
        <v>272</v>
      </c>
      <c r="F4" s="9" t="s">
        <v>273</v>
      </c>
    </row>
    <row r="5" customFormat="false" ht="39.75" hidden="false" customHeight="true" outlineLevel="0" collapsed="false">
      <c r="A5" s="21" t="s">
        <v>274</v>
      </c>
      <c r="B5" s="19" t="n">
        <f aca="false">COUNTIF('Qualitative Analysis'!$G$5:$G$29,"*"&amp;A5&amp;"*")</f>
        <v>8</v>
      </c>
      <c r="C5" s="22" t="n">
        <f aca="false">B5/25</f>
        <v>0.32</v>
      </c>
      <c r="D5" s="20" t="s">
        <v>275</v>
      </c>
      <c r="E5" s="3" t="s">
        <v>276</v>
      </c>
      <c r="F5" s="3" t="s">
        <v>277</v>
      </c>
    </row>
    <row r="6" customFormat="false" ht="39.75" hidden="false" customHeight="true" outlineLevel="0" collapsed="false">
      <c r="A6" s="21" t="s">
        <v>278</v>
      </c>
      <c r="B6" s="19" t="n">
        <f aca="false">COUNTIF('Qualitative Analysis'!$G$5:$G$29,"*"&amp;A6&amp;"*")</f>
        <v>8</v>
      </c>
      <c r="C6" s="22" t="n">
        <f aca="false">B6/25</f>
        <v>0.32</v>
      </c>
      <c r="D6" s="20" t="s">
        <v>279</v>
      </c>
      <c r="E6" s="3" t="s">
        <v>280</v>
      </c>
      <c r="F6" s="3" t="s">
        <v>281</v>
      </c>
    </row>
    <row r="7" customFormat="false" ht="39.75" hidden="false" customHeight="true" outlineLevel="0" collapsed="false">
      <c r="A7" s="21" t="s">
        <v>282</v>
      </c>
      <c r="B7" s="19" t="n">
        <f aca="false">COUNTIF('Qualitative Analysis'!$G$5:$G$29,"*"&amp;A7&amp;"*")</f>
        <v>8</v>
      </c>
      <c r="C7" s="22" t="n">
        <f aca="false">B7/25</f>
        <v>0.32</v>
      </c>
      <c r="D7" s="20" t="s">
        <v>283</v>
      </c>
      <c r="E7" s="3" t="s">
        <v>284</v>
      </c>
      <c r="F7" s="3" t="s">
        <v>281</v>
      </c>
    </row>
    <row r="8" customFormat="false" ht="39.75" hidden="false" customHeight="true" outlineLevel="0" collapsed="false">
      <c r="A8" s="21" t="s">
        <v>31</v>
      </c>
      <c r="B8" s="19" t="n">
        <f aca="false">COUNTIF('Qualitative Analysis'!$G$5:$G$29,"*"&amp;A8&amp;"*")</f>
        <v>7</v>
      </c>
      <c r="C8" s="22" t="n">
        <f aca="false">B8/25</f>
        <v>0.28</v>
      </c>
      <c r="D8" s="20" t="s">
        <v>285</v>
      </c>
      <c r="E8" s="3" t="s">
        <v>286</v>
      </c>
      <c r="F8" s="3" t="s">
        <v>287</v>
      </c>
    </row>
    <row r="9" customFormat="false" ht="39.75" hidden="false" customHeight="true" outlineLevel="0" collapsed="false">
      <c r="A9" s="21" t="s">
        <v>288</v>
      </c>
      <c r="B9" s="19" t="n">
        <f aca="false">COUNTIF('Qualitative Analysis'!$G$5:$G$29,"*"&amp;A9&amp;"*")</f>
        <v>5</v>
      </c>
      <c r="C9" s="22" t="n">
        <f aca="false">B9/25</f>
        <v>0.2</v>
      </c>
      <c r="D9" s="20" t="s">
        <v>289</v>
      </c>
      <c r="E9" s="3" t="s">
        <v>290</v>
      </c>
      <c r="F9" s="3" t="s">
        <v>287</v>
      </c>
    </row>
    <row r="10" customFormat="false" ht="39.75" hidden="false" customHeight="true" outlineLevel="0" collapsed="false">
      <c r="A10" s="21" t="s">
        <v>291</v>
      </c>
      <c r="B10" s="19" t="n">
        <f aca="false">COUNTIF('Qualitative Analysis'!$G$5:$G$29,"*"&amp;A10&amp;"*")</f>
        <v>3</v>
      </c>
      <c r="C10" s="22" t="n">
        <f aca="false">B10/25</f>
        <v>0.12</v>
      </c>
      <c r="D10" s="20" t="s">
        <v>292</v>
      </c>
      <c r="E10" s="3" t="s">
        <v>293</v>
      </c>
      <c r="F10" s="3" t="s">
        <v>294</v>
      </c>
    </row>
    <row r="11" customFormat="false" ht="39.75" hidden="false" customHeight="true" outlineLevel="0" collapsed="false">
      <c r="A11" s="21" t="s">
        <v>295</v>
      </c>
      <c r="B11" s="19" t="n">
        <f aca="false">COUNTIF('Qualitative Analysis'!$G$5:$G$29,"*"&amp;A11&amp;"*")</f>
        <v>2</v>
      </c>
      <c r="C11" s="22" t="n">
        <f aca="false">B11/25</f>
        <v>0.08</v>
      </c>
      <c r="D11" s="20" t="s">
        <v>296</v>
      </c>
      <c r="E11" s="3" t="s">
        <v>297</v>
      </c>
      <c r="F11" s="3" t="s">
        <v>298</v>
      </c>
    </row>
    <row r="12" customFormat="false" ht="39.75" hidden="false" customHeight="true" outlineLevel="0" collapsed="false">
      <c r="A12" s="21" t="s">
        <v>299</v>
      </c>
      <c r="B12" s="19" t="n">
        <f aca="false">COUNTIF('Qualitative Analysis'!$G$5:$G$29,"*"&amp;A12&amp;"*")</f>
        <v>1</v>
      </c>
      <c r="C12" s="22" t="n">
        <f aca="false">B12/25</f>
        <v>0.04</v>
      </c>
      <c r="D12" s="20" t="s">
        <v>300</v>
      </c>
      <c r="E12" s="3" t="s">
        <v>301</v>
      </c>
      <c r="F12" s="3" t="s">
        <v>302</v>
      </c>
    </row>
    <row r="13" customFormat="false" ht="39.75" hidden="false" customHeight="true" outlineLevel="0" collapsed="false">
      <c r="A13" s="21" t="s">
        <v>303</v>
      </c>
      <c r="B13" s="19" t="n">
        <f aca="false">COUNTIF('Qualitative Analysis'!$G$5:$G$29,"*"&amp;A13&amp;"*")</f>
        <v>1</v>
      </c>
      <c r="C13" s="22" t="n">
        <f aca="false">B13/25</f>
        <v>0.04</v>
      </c>
      <c r="D13" s="20" t="s">
        <v>304</v>
      </c>
      <c r="E13" s="3" t="s">
        <v>305</v>
      </c>
      <c r="F13" s="3" t="s">
        <v>302</v>
      </c>
    </row>
    <row r="14" customFormat="false" ht="39.75" hidden="false" customHeight="true" outlineLevel="0" collapsed="false">
      <c r="A14" s="21" t="s">
        <v>257</v>
      </c>
      <c r="B14" s="19" t="n">
        <f aca="false">COUNTIF('Qualitative Analysis'!$G$5:$G$29,"*"&amp;A14&amp;"*")</f>
        <v>2</v>
      </c>
      <c r="C14" s="22" t="n">
        <f aca="false">B14/25</f>
        <v>0.08</v>
      </c>
      <c r="D14" s="20" t="s">
        <v>306</v>
      </c>
      <c r="E14" s="3" t="s">
        <v>307</v>
      </c>
      <c r="F14" s="3" t="s">
        <v>298</v>
      </c>
    </row>
    <row r="15" customFormat="false" ht="39.75" hidden="false" customHeight="true" outlineLevel="0" collapsed="false">
      <c r="A15" s="21" t="s">
        <v>249</v>
      </c>
      <c r="B15" s="19" t="n">
        <f aca="false">COUNTIF('Qualitative Analysis'!$G$5:$G$29,"*"&amp;A15&amp;"*")</f>
        <v>11</v>
      </c>
      <c r="C15" s="22" t="n">
        <f aca="false">B15/25</f>
        <v>0.44</v>
      </c>
      <c r="D15" s="20" t="s">
        <v>308</v>
      </c>
      <c r="E15" s="3" t="s">
        <v>309</v>
      </c>
      <c r="F15" s="3" t="s">
        <v>310</v>
      </c>
    </row>
  </sheetData>
  <mergeCells count="2">
    <mergeCell ref="A1:G1"/>
    <mergeCell ref="A2:G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F8F00"/>
    <pageSetUpPr fitToPage="false"/>
  </sheetPr>
  <dimension ref="A1:H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26"/>
    <col collapsed="false" customWidth="true" hidden="false" outlineLevel="0" max="2" min="2" style="1" width="30"/>
    <col collapsed="false" customWidth="true" hidden="false" outlineLevel="0" max="3" min="3" style="1" width="16"/>
    <col collapsed="false" customWidth="true" hidden="false" outlineLevel="0" max="6" min="4" style="1" width="30"/>
    <col collapsed="false" customWidth="true" hidden="false" outlineLevel="0" max="7" min="7" style="1" width="14"/>
    <col collapsed="false" customWidth="true" hidden="false" outlineLevel="0" max="8" min="8" style="1" width="30"/>
  </cols>
  <sheetData>
    <row r="1" customFormat="false" ht="21.75" hidden="false" customHeight="true" outlineLevel="0" collapsed="false">
      <c r="A1" s="17" t="s">
        <v>311</v>
      </c>
      <c r="B1" s="17"/>
      <c r="C1" s="17"/>
      <c r="D1" s="17"/>
      <c r="E1" s="17"/>
      <c r="F1" s="17"/>
      <c r="G1" s="17"/>
      <c r="H1" s="17"/>
    </row>
    <row r="2" customFormat="false" ht="27.75" hidden="false" customHeight="true" outlineLevel="0" collapsed="false">
      <c r="A2" s="5" t="s">
        <v>312</v>
      </c>
      <c r="B2" s="5"/>
      <c r="C2" s="5"/>
      <c r="D2" s="5"/>
      <c r="E2" s="5"/>
      <c r="F2" s="5"/>
      <c r="G2" s="5"/>
      <c r="H2" s="5"/>
    </row>
    <row r="4" customFormat="false" ht="23.25" hidden="false" customHeight="true" outlineLevel="0" collapsed="false">
      <c r="A4" s="9" t="s">
        <v>313</v>
      </c>
      <c r="B4" s="9" t="s">
        <v>314</v>
      </c>
      <c r="C4" s="9" t="s">
        <v>315</v>
      </c>
      <c r="D4" s="9" t="s">
        <v>272</v>
      </c>
      <c r="E4" s="9" t="s">
        <v>316</v>
      </c>
      <c r="F4" s="9" t="s">
        <v>317</v>
      </c>
      <c r="G4" s="9" t="s">
        <v>273</v>
      </c>
      <c r="H4" s="9" t="s">
        <v>318</v>
      </c>
    </row>
    <row r="5" customFormat="false" ht="69.75" hidden="false" customHeight="true" outlineLevel="0" collapsed="false">
      <c r="A5" s="23" t="s">
        <v>319</v>
      </c>
      <c r="B5" s="24" t="s">
        <v>320</v>
      </c>
      <c r="C5" s="25" t="str">
        <f aca="false">'Theme Summary'!B6&amp;" of 25 students ("&amp;TEXT('Theme Summary'!C6,"0%")&amp;")"</f>
        <v>8 of 25 students (32%)</v>
      </c>
      <c r="D5" s="24" t="s">
        <v>321</v>
      </c>
      <c r="E5" s="24" t="s">
        <v>322</v>
      </c>
      <c r="F5" s="24" t="s">
        <v>323</v>
      </c>
      <c r="G5" s="24" t="s">
        <v>324</v>
      </c>
      <c r="H5" s="24" t="s">
        <v>325</v>
      </c>
    </row>
    <row r="6" customFormat="false" ht="69.75" hidden="false" customHeight="true" outlineLevel="0" collapsed="false">
      <c r="A6" s="23" t="s">
        <v>326</v>
      </c>
      <c r="B6" s="24" t="s">
        <v>327</v>
      </c>
      <c r="C6" s="25" t="str">
        <f aca="false">'Theme Summary'!B7&amp;" of 25 students ("&amp;TEXT('Theme Summary'!C7,"0%")&amp;")"</f>
        <v>8 of 25 students (32%)</v>
      </c>
      <c r="D6" s="24" t="s">
        <v>328</v>
      </c>
      <c r="E6" s="24" t="s">
        <v>329</v>
      </c>
      <c r="F6" s="24" t="s">
        <v>330</v>
      </c>
      <c r="G6" s="24" t="s">
        <v>324</v>
      </c>
      <c r="H6" s="24" t="s">
        <v>331</v>
      </c>
    </row>
    <row r="7" customFormat="false" ht="69.75" hidden="false" customHeight="true" outlineLevel="0" collapsed="false">
      <c r="A7" s="23" t="s">
        <v>332</v>
      </c>
      <c r="B7" s="24" t="s">
        <v>333</v>
      </c>
      <c r="C7" s="25" t="str">
        <f aca="false">'Theme Summary'!B5&amp;" of 25 students ("&amp;TEXT('Theme Summary'!C5,"0%")&amp;")"</f>
        <v>8 of 25 students (32%)</v>
      </c>
      <c r="D7" s="24" t="s">
        <v>334</v>
      </c>
      <c r="E7" s="24" t="s">
        <v>335</v>
      </c>
      <c r="F7" s="24" t="s">
        <v>336</v>
      </c>
      <c r="G7" s="24" t="s">
        <v>324</v>
      </c>
      <c r="H7" s="24" t="s">
        <v>337</v>
      </c>
    </row>
    <row r="8" customFormat="false" ht="69.75" hidden="false" customHeight="true" outlineLevel="0" collapsed="false">
      <c r="A8" s="23" t="s">
        <v>338</v>
      </c>
      <c r="B8" s="24" t="s">
        <v>339</v>
      </c>
      <c r="C8" s="25" t="str">
        <f aca="false">'Theme Summary'!B9&amp;" of 25 students ("&amp;TEXT('Theme Summary'!C9,"0%")&amp;")"</f>
        <v>5 of 25 students (20%)</v>
      </c>
      <c r="D8" s="24" t="s">
        <v>340</v>
      </c>
      <c r="E8" s="24" t="s">
        <v>341</v>
      </c>
      <c r="F8" s="24" t="s">
        <v>342</v>
      </c>
      <c r="G8" s="24" t="s">
        <v>343</v>
      </c>
      <c r="H8" s="24" t="s">
        <v>344</v>
      </c>
    </row>
    <row r="9" customFormat="false" ht="69.75" hidden="false" customHeight="true" outlineLevel="0" collapsed="false">
      <c r="A9" s="23" t="s">
        <v>345</v>
      </c>
      <c r="B9" s="24" t="s">
        <v>346</v>
      </c>
      <c r="C9" s="25" t="str">
        <f aca="false">'Theme Summary'!B14&amp;" of 25 students ("&amp;TEXT('Theme Summary'!C14,"0%")&amp;")"</f>
        <v>2 of 25 students (8%)</v>
      </c>
      <c r="D9" s="24" t="s">
        <v>347</v>
      </c>
      <c r="E9" s="24" t="s">
        <v>348</v>
      </c>
      <c r="F9" s="24" t="s">
        <v>349</v>
      </c>
      <c r="G9" s="24" t="s">
        <v>350</v>
      </c>
      <c r="H9" s="24" t="s">
        <v>351</v>
      </c>
    </row>
  </sheetData>
  <mergeCells count="2">
    <mergeCell ref="A1:H1"/>
    <mergeCell ref="A2:H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00000"/>
    <pageSetUpPr fitToPage="false"/>
  </sheetPr>
  <dimension ref="A1:E41"/>
  <sheetViews>
    <sheetView showFormulas="false" showGridLines="false" showRowColHeaders="true" showZeros="true" rightToLeft="false" tabSelected="false" showOutlineSymbols="true" defaultGridColor="true" view="normal" topLeftCell="B1" colorId="64" zoomScale="100" zoomScaleNormal="100" zoomScalePageLayoutView="100" workbookViewId="0">
      <selection pane="topLeft" activeCell="F31" activeCellId="0" sqref="F31"/>
    </sheetView>
  </sheetViews>
  <sheetFormatPr defaultColWidth="8.6796875" defaultRowHeight="15" zeroHeight="false" outlineLevelRow="0" outlineLevelCol="0"/>
  <cols>
    <col collapsed="false" customWidth="true" hidden="false" outlineLevel="0" max="1" min="1" style="1" width="30"/>
    <col collapsed="false" customWidth="true" hidden="false" outlineLevel="0" max="3" min="2" style="1" width="40"/>
    <col collapsed="false" customWidth="true" hidden="false" outlineLevel="0" max="4" min="4" style="1" width="3"/>
  </cols>
  <sheetData>
    <row r="1" customFormat="false" ht="21.75" hidden="false" customHeight="true" outlineLevel="0" collapsed="false">
      <c r="A1" s="4" t="s">
        <v>352</v>
      </c>
      <c r="B1" s="4"/>
      <c r="C1" s="4"/>
    </row>
    <row r="3" customFormat="false" ht="15" hidden="false" customHeight="true" outlineLevel="0" collapsed="false">
      <c r="A3" s="6" t="s">
        <v>353</v>
      </c>
      <c r="B3" s="6"/>
      <c r="C3" s="6"/>
    </row>
    <row r="4" customFormat="false" ht="15" hidden="false" customHeight="true" outlineLevel="0" collapsed="false">
      <c r="A4" s="9" t="s">
        <v>354</v>
      </c>
      <c r="B4" s="9" t="s">
        <v>314</v>
      </c>
      <c r="C4" s="9" t="s">
        <v>355</v>
      </c>
    </row>
    <row r="5" customFormat="false" ht="54.75" hidden="false" customHeight="true" outlineLevel="0" collapsed="false">
      <c r="A5" s="23" t="s">
        <v>356</v>
      </c>
      <c r="B5" s="24" t="s">
        <v>357</v>
      </c>
      <c r="C5" s="24" t="s">
        <v>358</v>
      </c>
    </row>
    <row r="6" customFormat="false" ht="54.75" hidden="false" customHeight="true" outlineLevel="0" collapsed="false">
      <c r="A6" s="23" t="s">
        <v>359</v>
      </c>
      <c r="B6" s="24" t="s">
        <v>360</v>
      </c>
      <c r="C6" s="24" t="s">
        <v>361</v>
      </c>
    </row>
    <row r="7" customFormat="false" ht="54.75" hidden="false" customHeight="true" outlineLevel="0" collapsed="false">
      <c r="A7" s="23" t="s">
        <v>362</v>
      </c>
      <c r="B7" s="24" t="s">
        <v>363</v>
      </c>
      <c r="C7" s="24" t="s">
        <v>364</v>
      </c>
    </row>
    <row r="8" customFormat="false" ht="54.75" hidden="false" customHeight="true" outlineLevel="0" collapsed="false">
      <c r="A8" s="23" t="s">
        <v>365</v>
      </c>
      <c r="B8" s="24" t="s">
        <v>366</v>
      </c>
      <c r="C8" s="24" t="s">
        <v>367</v>
      </c>
    </row>
    <row r="9" customFormat="false" ht="54.75" hidden="false" customHeight="true" outlineLevel="0" collapsed="false">
      <c r="A9" s="23" t="s">
        <v>368</v>
      </c>
      <c r="B9" s="24" t="s">
        <v>369</v>
      </c>
      <c r="C9" s="24" t="s">
        <v>370</v>
      </c>
    </row>
    <row r="11" customFormat="false" ht="15" hidden="false" customHeight="true" outlineLevel="0" collapsed="false">
      <c r="A11" s="6" t="s">
        <v>371</v>
      </c>
      <c r="B11" s="6"/>
      <c r="C11" s="6"/>
    </row>
    <row r="12" customFormat="false" ht="30" hidden="false" customHeight="true" outlineLevel="0" collapsed="false">
      <c r="A12" s="5" t="s">
        <v>372</v>
      </c>
      <c r="B12" s="5"/>
      <c r="C12" s="5"/>
    </row>
    <row r="13" customFormat="false" ht="15" hidden="false" customHeight="true" outlineLevel="0" collapsed="false">
      <c r="A13" s="9" t="s">
        <v>373</v>
      </c>
      <c r="B13" s="9" t="s">
        <v>374</v>
      </c>
      <c r="C13" s="9" t="s">
        <v>375</v>
      </c>
    </row>
    <row r="14" customFormat="false" ht="45" hidden="false" customHeight="true" outlineLevel="0" collapsed="false">
      <c r="A14" s="25" t="s">
        <v>376</v>
      </c>
      <c r="B14" s="23" t="s">
        <v>377</v>
      </c>
      <c r="C14" s="24" t="s">
        <v>378</v>
      </c>
    </row>
    <row r="15" customFormat="false" ht="45" hidden="false" customHeight="true" outlineLevel="0" collapsed="false">
      <c r="A15" s="25" t="s">
        <v>379</v>
      </c>
      <c r="B15" s="23" t="s">
        <v>380</v>
      </c>
      <c r="C15" s="24" t="s">
        <v>381</v>
      </c>
    </row>
    <row r="16" customFormat="false" ht="45" hidden="false" customHeight="true" outlineLevel="0" collapsed="false">
      <c r="A16" s="25" t="s">
        <v>382</v>
      </c>
      <c r="B16" s="23" t="s">
        <v>383</v>
      </c>
      <c r="C16" s="24" t="s">
        <v>384</v>
      </c>
    </row>
    <row r="17" customFormat="false" ht="45" hidden="false" customHeight="true" outlineLevel="0" collapsed="false">
      <c r="A17" s="25" t="s">
        <v>385</v>
      </c>
      <c r="B17" s="23" t="s">
        <v>386</v>
      </c>
      <c r="C17" s="24" t="s">
        <v>387</v>
      </c>
    </row>
    <row r="18" customFormat="false" ht="45" hidden="false" customHeight="true" outlineLevel="0" collapsed="false">
      <c r="A18" s="25" t="s">
        <v>388</v>
      </c>
      <c r="B18" s="23" t="s">
        <v>295</v>
      </c>
      <c r="C18" s="24" t="s">
        <v>389</v>
      </c>
    </row>
    <row r="20" customFormat="false" ht="15" hidden="false" customHeight="true" outlineLevel="0" collapsed="false">
      <c r="A20" s="6" t="s">
        <v>390</v>
      </c>
      <c r="B20" s="6"/>
      <c r="C20" s="6"/>
    </row>
    <row r="21" customFormat="false" ht="31.5" hidden="false" customHeight="true" outlineLevel="0" collapsed="false">
      <c r="A21" s="26" t="s">
        <v>391</v>
      </c>
      <c r="B21" s="26"/>
      <c r="C21" s="26"/>
    </row>
    <row r="22" customFormat="false" ht="31.5" hidden="false" customHeight="true" outlineLevel="0" collapsed="false">
      <c r="A22" s="26" t="s">
        <v>392</v>
      </c>
      <c r="B22" s="26"/>
      <c r="C22" s="26"/>
    </row>
    <row r="23" customFormat="false" ht="31.5" hidden="false" customHeight="true" outlineLevel="0" collapsed="false">
      <c r="A23" s="26" t="s">
        <v>393</v>
      </c>
      <c r="B23" s="26"/>
      <c r="C23" s="26"/>
    </row>
    <row r="24" customFormat="false" ht="31.5" hidden="false" customHeight="true" outlineLevel="0" collapsed="false">
      <c r="A24" s="26" t="s">
        <v>394</v>
      </c>
      <c r="B24" s="26"/>
      <c r="C24" s="26"/>
    </row>
    <row r="25" customFormat="false" ht="31.5" hidden="false" customHeight="true" outlineLevel="0" collapsed="false">
      <c r="A25" s="26" t="s">
        <v>395</v>
      </c>
      <c r="B25" s="26"/>
      <c r="C25" s="26"/>
    </row>
    <row r="26" customFormat="false" ht="31.5" hidden="false" customHeight="true" outlineLevel="0" collapsed="false">
      <c r="A26" s="26" t="s">
        <v>396</v>
      </c>
      <c r="B26" s="26"/>
      <c r="C26" s="26"/>
    </row>
    <row r="28" customFormat="false" ht="15" hidden="false" customHeight="true" outlineLevel="0" collapsed="false">
      <c r="A28" s="6" t="s">
        <v>397</v>
      </c>
      <c r="B28" s="6"/>
      <c r="C28" s="6"/>
    </row>
    <row r="29" customFormat="false" ht="69.75" hidden="false" customHeight="true" outlineLevel="0" collapsed="false">
      <c r="A29" s="27" t="s">
        <v>398</v>
      </c>
      <c r="B29" s="27"/>
      <c r="C29" s="27"/>
    </row>
    <row r="31" customFormat="false" ht="15" hidden="false" customHeight="true" outlineLevel="0" collapsed="false">
      <c r="A31" s="6" t="s">
        <v>399</v>
      </c>
      <c r="B31" s="6"/>
      <c r="C31" s="6"/>
    </row>
    <row r="32" customFormat="false" ht="60" hidden="false" customHeight="true" outlineLevel="0" collapsed="false">
      <c r="A32" s="27" t="s">
        <v>400</v>
      </c>
      <c r="B32" s="27"/>
      <c r="C32" s="27"/>
    </row>
    <row r="34" customFormat="false" ht="15" hidden="false" customHeight="true" outlineLevel="0" collapsed="false">
      <c r="A34" s="6" t="s">
        <v>401</v>
      </c>
      <c r="B34" s="6"/>
      <c r="C34" s="6"/>
    </row>
    <row r="35" customFormat="false" ht="54.75" hidden="false" customHeight="true" outlineLevel="0" collapsed="false">
      <c r="A35" s="26" t="s">
        <v>402</v>
      </c>
      <c r="B35" s="26"/>
      <c r="C35" s="26"/>
    </row>
    <row r="36" customFormat="false" ht="15" hidden="false" customHeight="false" outlineLevel="0" collapsed="false">
      <c r="E36" s="28"/>
    </row>
    <row r="37" customFormat="false" ht="15" hidden="false" customHeight="true" outlineLevel="0" collapsed="false">
      <c r="A37" s="6" t="s">
        <v>403</v>
      </c>
      <c r="B37" s="6"/>
      <c r="C37" s="6"/>
    </row>
    <row r="38" customFormat="false" ht="33.75" hidden="false" customHeight="true" outlineLevel="0" collapsed="false">
      <c r="A38" s="26" t="s">
        <v>404</v>
      </c>
      <c r="B38" s="26"/>
      <c r="C38" s="26"/>
    </row>
    <row r="39" customFormat="false" ht="33.75" hidden="false" customHeight="true" outlineLevel="0" collapsed="false">
      <c r="A39" s="26" t="s">
        <v>405</v>
      </c>
      <c r="B39" s="26"/>
      <c r="C39" s="26"/>
    </row>
    <row r="40" customFormat="false" ht="33.75" hidden="false" customHeight="true" outlineLevel="0" collapsed="false">
      <c r="A40" s="26" t="s">
        <v>406</v>
      </c>
      <c r="B40" s="26"/>
      <c r="C40" s="26"/>
    </row>
    <row r="41" customFormat="false" ht="33.75" hidden="false" customHeight="true" outlineLevel="0" collapsed="false">
      <c r="A41" s="26" t="s">
        <v>407</v>
      </c>
      <c r="B41" s="26"/>
      <c r="C41" s="26"/>
    </row>
  </sheetData>
  <mergeCells count="22">
    <mergeCell ref="A1:C1"/>
    <mergeCell ref="A3:C3"/>
    <mergeCell ref="A11:C11"/>
    <mergeCell ref="A12:C12"/>
    <mergeCell ref="A20:C20"/>
    <mergeCell ref="A21:C21"/>
    <mergeCell ref="A22:C22"/>
    <mergeCell ref="A23:C23"/>
    <mergeCell ref="A24:C24"/>
    <mergeCell ref="A25:C25"/>
    <mergeCell ref="A26:C26"/>
    <mergeCell ref="A28:C28"/>
    <mergeCell ref="A29:C29"/>
    <mergeCell ref="A31:C31"/>
    <mergeCell ref="A32:C32"/>
    <mergeCell ref="A34:C34"/>
    <mergeCell ref="A35:C35"/>
    <mergeCell ref="A37:C37"/>
    <mergeCell ref="A38:C38"/>
    <mergeCell ref="A39:C39"/>
    <mergeCell ref="A40:C40"/>
    <mergeCell ref="A41:C4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5</TotalTime>
  <Application>LibreOffice/7.5.5.2$MacOSX_AARCH64 LibreOffice_project/ca8fe7424262805f223b9a2334bc7181abbcbf5e</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2026-09-11T11:03:16Z</dcterms:created>
  <dc:creator>openpyxl</dc:creator>
  <dc:description/>
  <dc:language>en-US</dc:language>
  <cp:lastModifiedBy/>
  <dcterms:modified xsi:type="dcterms:W3CDTF">2026-09-12T15:37:36Z</dcterms:modified>
  <cp:revision>8</cp:revision>
  <dc:subject/>
  <dc:title/>
</cp:coreProperties>
</file>

<file path=docProps/custom.xml><?xml version="1.0" encoding="utf-8"?>
<Properties xmlns="http://schemas.openxmlformats.org/officeDocument/2006/custom-properties" xmlns:vt="http://schemas.openxmlformats.org/officeDocument/2006/docPropsVTypes"/>
</file>